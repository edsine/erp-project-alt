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opa.Godwin.PGLNIGERIA\Downloads\"/>
    </mc:Choice>
  </mc:AlternateContent>
  <bookViews>
    <workbookView xWindow="0" yWindow="0" windowWidth="19200" windowHeight="7190" activeTab="1"/>
  </bookViews>
  <sheets>
    <sheet name="EXPENSES" sheetId="1" r:id="rId1"/>
    <sheet name="INCOME" sheetId="2" r:id="rId2"/>
  </sheets>
  <externalReferences>
    <externalReference r:id="rId3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70" i="2" l="1"/>
  <c r="C870" i="2"/>
  <c r="E870" i="2" s="1"/>
  <c r="B870" i="2"/>
  <c r="D869" i="2"/>
  <c r="C869" i="2"/>
  <c r="E869" i="2" s="1"/>
  <c r="B869" i="2"/>
  <c r="G868" i="2"/>
  <c r="G869" i="2" s="1"/>
  <c r="G870" i="2" s="1"/>
  <c r="D868" i="2"/>
  <c r="C868" i="2"/>
  <c r="E868" i="2" s="1"/>
  <c r="B868" i="2"/>
  <c r="E867" i="2"/>
  <c r="D867" i="2"/>
  <c r="C867" i="2"/>
  <c r="B867" i="2"/>
  <c r="D866" i="2"/>
  <c r="C866" i="2"/>
  <c r="E866" i="2" s="1"/>
  <c r="B866" i="2"/>
  <c r="D865" i="2"/>
  <c r="C865" i="2"/>
  <c r="E865" i="2" s="1"/>
  <c r="B865" i="2"/>
  <c r="K864" i="2"/>
  <c r="K865" i="2" s="1"/>
  <c r="K866" i="2" s="1"/>
  <c r="K867" i="2" s="1"/>
  <c r="K868" i="2" s="1"/>
  <c r="K869" i="2" s="1"/>
  <c r="K870" i="2" s="1"/>
  <c r="G864" i="2"/>
  <c r="G865" i="2" s="1"/>
  <c r="G866" i="2" s="1"/>
  <c r="G867" i="2" s="1"/>
  <c r="D864" i="2"/>
  <c r="C864" i="2"/>
  <c r="E864" i="2" s="1"/>
  <c r="B864" i="2"/>
  <c r="K863" i="2"/>
  <c r="G863" i="2"/>
  <c r="E863" i="2"/>
  <c r="D863" i="2"/>
  <c r="C863" i="2"/>
  <c r="B863" i="2"/>
  <c r="D862" i="2"/>
  <c r="C862" i="2"/>
  <c r="E862" i="2" s="1"/>
  <c r="B862" i="2"/>
  <c r="E861" i="2"/>
  <c r="D861" i="2"/>
  <c r="C861" i="2"/>
  <c r="B861" i="2"/>
  <c r="D860" i="2"/>
  <c r="C860" i="2"/>
  <c r="E860" i="2" s="1"/>
  <c r="B860" i="2"/>
  <c r="E859" i="2"/>
  <c r="D859" i="2"/>
  <c r="C859" i="2"/>
  <c r="B859" i="2"/>
  <c r="D858" i="2"/>
  <c r="C858" i="2"/>
  <c r="E858" i="2" s="1"/>
  <c r="B858" i="2"/>
  <c r="E857" i="2"/>
  <c r="D857" i="2"/>
  <c r="C857" i="2"/>
  <c r="B857" i="2"/>
  <c r="D856" i="2"/>
  <c r="C856" i="2"/>
  <c r="E856" i="2" s="1"/>
  <c r="B856" i="2"/>
  <c r="E855" i="2"/>
  <c r="D855" i="2"/>
  <c r="C855" i="2"/>
  <c r="B855" i="2"/>
  <c r="D854" i="2"/>
  <c r="C854" i="2"/>
  <c r="E854" i="2" s="1"/>
  <c r="B854" i="2"/>
  <c r="E853" i="2"/>
  <c r="D853" i="2"/>
  <c r="C853" i="2"/>
  <c r="B853" i="2"/>
  <c r="D852" i="2"/>
  <c r="C852" i="2"/>
  <c r="E852" i="2" s="1"/>
  <c r="B852" i="2"/>
  <c r="E851" i="2"/>
  <c r="D851" i="2"/>
  <c r="C851" i="2"/>
  <c r="B851" i="2"/>
  <c r="D850" i="2"/>
  <c r="C850" i="2"/>
  <c r="E850" i="2" s="1"/>
  <c r="B850" i="2"/>
  <c r="E849" i="2"/>
  <c r="D849" i="2"/>
  <c r="C849" i="2"/>
  <c r="B849" i="2"/>
  <c r="D848" i="2"/>
  <c r="C848" i="2"/>
  <c r="E848" i="2" s="1"/>
  <c r="B848" i="2"/>
  <c r="E847" i="2"/>
  <c r="D847" i="2"/>
  <c r="C847" i="2"/>
  <c r="B847" i="2"/>
  <c r="D846" i="2"/>
  <c r="C846" i="2"/>
  <c r="E846" i="2" s="1"/>
  <c r="B846" i="2"/>
  <c r="E845" i="2"/>
  <c r="D845" i="2"/>
  <c r="C845" i="2"/>
  <c r="B845" i="2"/>
  <c r="D844" i="2"/>
  <c r="C844" i="2"/>
  <c r="E844" i="2" s="1"/>
  <c r="B844" i="2"/>
  <c r="E843" i="2"/>
  <c r="D843" i="2"/>
  <c r="C843" i="2"/>
  <c r="B843" i="2"/>
  <c r="D842" i="2"/>
  <c r="C842" i="2"/>
  <c r="E842" i="2" s="1"/>
  <c r="B842" i="2"/>
  <c r="E841" i="2"/>
  <c r="D841" i="2"/>
  <c r="C841" i="2"/>
  <c r="B841" i="2"/>
  <c r="D840" i="2"/>
  <c r="C840" i="2"/>
  <c r="E840" i="2" s="1"/>
  <c r="B840" i="2"/>
  <c r="E839" i="2"/>
  <c r="D839" i="2"/>
  <c r="C839" i="2"/>
  <c r="B839" i="2"/>
  <c r="D838" i="2"/>
  <c r="C838" i="2"/>
  <c r="E838" i="2" s="1"/>
  <c r="B838" i="2"/>
  <c r="E837" i="2"/>
  <c r="D837" i="2"/>
  <c r="C837" i="2"/>
  <c r="B837" i="2"/>
  <c r="D836" i="2"/>
  <c r="C836" i="2"/>
  <c r="E836" i="2" s="1"/>
  <c r="B836" i="2"/>
  <c r="E835" i="2"/>
  <c r="D835" i="2"/>
  <c r="C835" i="2"/>
  <c r="B835" i="2"/>
  <c r="D834" i="2"/>
  <c r="C834" i="2"/>
  <c r="E834" i="2" s="1"/>
  <c r="B834" i="2"/>
  <c r="E833" i="2"/>
  <c r="D833" i="2"/>
  <c r="C833" i="2"/>
  <c r="B833" i="2"/>
  <c r="D832" i="2"/>
  <c r="C832" i="2"/>
  <c r="E832" i="2" s="1"/>
  <c r="B832" i="2"/>
  <c r="E831" i="2"/>
  <c r="D831" i="2"/>
  <c r="C831" i="2"/>
  <c r="B831" i="2"/>
  <c r="D830" i="2"/>
  <c r="C830" i="2"/>
  <c r="E830" i="2" s="1"/>
  <c r="B830" i="2"/>
  <c r="E829" i="2"/>
  <c r="D829" i="2"/>
  <c r="C829" i="2"/>
  <c r="B829" i="2"/>
  <c r="D828" i="2"/>
  <c r="C828" i="2"/>
  <c r="E828" i="2" s="1"/>
  <c r="B828" i="2"/>
  <c r="E827" i="2"/>
  <c r="D827" i="2"/>
  <c r="C827" i="2"/>
  <c r="B827" i="2"/>
  <c r="D826" i="2"/>
  <c r="C826" i="2"/>
  <c r="E826" i="2" s="1"/>
  <c r="B826" i="2"/>
  <c r="E825" i="2"/>
  <c r="D825" i="2"/>
  <c r="C825" i="2"/>
  <c r="B825" i="2"/>
  <c r="D824" i="2"/>
  <c r="C824" i="2"/>
  <c r="E824" i="2" s="1"/>
  <c r="B824" i="2"/>
  <c r="E823" i="2"/>
  <c r="D823" i="2"/>
  <c r="C823" i="2"/>
  <c r="B823" i="2"/>
  <c r="D822" i="2"/>
  <c r="C822" i="2"/>
  <c r="E822" i="2" s="1"/>
  <c r="B822" i="2"/>
  <c r="E821" i="2"/>
  <c r="D821" i="2"/>
  <c r="C821" i="2"/>
  <c r="B821" i="2"/>
  <c r="D820" i="2"/>
  <c r="C820" i="2"/>
  <c r="E820" i="2" s="1"/>
  <c r="B820" i="2"/>
  <c r="D819" i="2"/>
  <c r="C819" i="2"/>
  <c r="E819" i="2" s="1"/>
  <c r="B819" i="2"/>
  <c r="D818" i="2"/>
  <c r="C818" i="2"/>
  <c r="E818" i="2" s="1"/>
  <c r="B818" i="2"/>
  <c r="D817" i="2"/>
  <c r="C817" i="2"/>
  <c r="E817" i="2" s="1"/>
  <c r="B817" i="2"/>
  <c r="D816" i="2"/>
  <c r="C816" i="2"/>
  <c r="E816" i="2" s="1"/>
  <c r="B816" i="2"/>
  <c r="D815" i="2"/>
  <c r="C815" i="2"/>
  <c r="E815" i="2" s="1"/>
  <c r="B815" i="2"/>
  <c r="D814" i="2"/>
  <c r="C814" i="2"/>
  <c r="E814" i="2" s="1"/>
  <c r="B814" i="2"/>
  <c r="D813" i="2"/>
  <c r="C813" i="2"/>
  <c r="E813" i="2" s="1"/>
  <c r="B813" i="2"/>
  <c r="D812" i="2"/>
  <c r="C812" i="2"/>
  <c r="E812" i="2" s="1"/>
  <c r="B812" i="2"/>
  <c r="D811" i="2"/>
  <c r="C811" i="2"/>
  <c r="E811" i="2" s="1"/>
  <c r="B811" i="2"/>
  <c r="D810" i="2"/>
  <c r="C810" i="2"/>
  <c r="E810" i="2" s="1"/>
  <c r="B810" i="2"/>
  <c r="E809" i="2"/>
  <c r="D809" i="2"/>
  <c r="C809" i="2"/>
  <c r="B809" i="2"/>
  <c r="D808" i="2"/>
  <c r="C808" i="2"/>
  <c r="E808" i="2" s="1"/>
  <c r="B808" i="2"/>
  <c r="E807" i="2"/>
  <c r="D807" i="2"/>
  <c r="C807" i="2"/>
  <c r="B807" i="2"/>
  <c r="D806" i="2"/>
  <c r="C806" i="2"/>
  <c r="E806" i="2" s="1"/>
  <c r="B806" i="2"/>
  <c r="E805" i="2"/>
  <c r="D805" i="2"/>
  <c r="C805" i="2"/>
  <c r="B805" i="2"/>
  <c r="D804" i="2"/>
  <c r="C804" i="2"/>
  <c r="E804" i="2" s="1"/>
  <c r="B804" i="2"/>
  <c r="E803" i="2"/>
  <c r="D803" i="2"/>
  <c r="C803" i="2"/>
  <c r="B803" i="2"/>
  <c r="D802" i="2"/>
  <c r="C802" i="2"/>
  <c r="E802" i="2" s="1"/>
  <c r="B802" i="2"/>
  <c r="D801" i="2"/>
  <c r="C801" i="2"/>
  <c r="E801" i="2" s="1"/>
  <c r="B801" i="2"/>
  <c r="D800" i="2"/>
  <c r="C800" i="2"/>
  <c r="E800" i="2" s="1"/>
  <c r="B800" i="2"/>
  <c r="D799" i="2"/>
  <c r="C799" i="2"/>
  <c r="E799" i="2" s="1"/>
  <c r="B799" i="2"/>
  <c r="D798" i="2"/>
  <c r="C798" i="2"/>
  <c r="E798" i="2" s="1"/>
  <c r="B798" i="2"/>
  <c r="D797" i="2"/>
  <c r="C797" i="2"/>
  <c r="E797" i="2" s="1"/>
  <c r="B797" i="2"/>
  <c r="D796" i="2"/>
  <c r="C796" i="2"/>
  <c r="E796" i="2" s="1"/>
  <c r="B796" i="2"/>
  <c r="D795" i="2"/>
  <c r="C795" i="2"/>
  <c r="E795" i="2" s="1"/>
  <c r="B795" i="2"/>
  <c r="D794" i="2"/>
  <c r="C794" i="2"/>
  <c r="E794" i="2" s="1"/>
  <c r="B794" i="2"/>
  <c r="E793" i="2"/>
  <c r="D793" i="2"/>
  <c r="C793" i="2"/>
  <c r="B793" i="2"/>
  <c r="D792" i="2"/>
  <c r="C792" i="2"/>
  <c r="E792" i="2" s="1"/>
  <c r="B792" i="2"/>
  <c r="E791" i="2"/>
  <c r="D791" i="2"/>
  <c r="C791" i="2"/>
  <c r="B791" i="2"/>
  <c r="D790" i="2"/>
  <c r="C790" i="2"/>
  <c r="E790" i="2" s="1"/>
  <c r="B790" i="2"/>
  <c r="E789" i="2"/>
  <c r="D789" i="2"/>
  <c r="C789" i="2"/>
  <c r="B789" i="2"/>
  <c r="D788" i="2"/>
  <c r="C788" i="2"/>
  <c r="E788" i="2" s="1"/>
  <c r="B788" i="2"/>
  <c r="E787" i="2"/>
  <c r="D787" i="2"/>
  <c r="C787" i="2"/>
  <c r="B787" i="2"/>
  <c r="D786" i="2"/>
  <c r="C786" i="2"/>
  <c r="E786" i="2" s="1"/>
  <c r="B786" i="2"/>
  <c r="D785" i="2"/>
  <c r="C785" i="2"/>
  <c r="E785" i="2" s="1"/>
  <c r="B785" i="2"/>
  <c r="D784" i="2"/>
  <c r="C784" i="2"/>
  <c r="E784" i="2" s="1"/>
  <c r="B784" i="2"/>
  <c r="D783" i="2"/>
  <c r="C783" i="2"/>
  <c r="E783" i="2" s="1"/>
  <c r="B783" i="2"/>
  <c r="D782" i="2"/>
  <c r="C782" i="2"/>
  <c r="E782" i="2" s="1"/>
  <c r="B782" i="2"/>
  <c r="D781" i="2"/>
  <c r="C781" i="2"/>
  <c r="E781" i="2" s="1"/>
  <c r="B781" i="2"/>
  <c r="D780" i="2"/>
  <c r="C780" i="2"/>
  <c r="E780" i="2" s="1"/>
  <c r="B780" i="2"/>
  <c r="D779" i="2"/>
  <c r="C779" i="2"/>
  <c r="E779" i="2" s="1"/>
  <c r="B779" i="2"/>
  <c r="D778" i="2"/>
  <c r="C778" i="2"/>
  <c r="E778" i="2" s="1"/>
  <c r="B778" i="2"/>
  <c r="E777" i="2"/>
  <c r="D777" i="2"/>
  <c r="C777" i="2"/>
  <c r="B777" i="2"/>
  <c r="D776" i="2"/>
  <c r="C776" i="2"/>
  <c r="E776" i="2" s="1"/>
  <c r="B776" i="2"/>
  <c r="E775" i="2"/>
  <c r="D775" i="2"/>
  <c r="C775" i="2"/>
  <c r="B775" i="2"/>
  <c r="D774" i="2"/>
  <c r="C774" i="2"/>
  <c r="E774" i="2" s="1"/>
  <c r="B774" i="2"/>
  <c r="E773" i="2"/>
  <c r="D773" i="2"/>
  <c r="C773" i="2"/>
  <c r="B773" i="2"/>
  <c r="D772" i="2"/>
  <c r="C772" i="2"/>
  <c r="E772" i="2" s="1"/>
  <c r="B772" i="2"/>
  <c r="E771" i="2"/>
  <c r="D771" i="2"/>
  <c r="C771" i="2"/>
  <c r="B771" i="2"/>
  <c r="D770" i="2"/>
  <c r="C770" i="2"/>
  <c r="E770" i="2" s="1"/>
  <c r="B770" i="2"/>
  <c r="D769" i="2"/>
  <c r="C769" i="2"/>
  <c r="E769" i="2" s="1"/>
  <c r="B769" i="2"/>
  <c r="D768" i="2"/>
  <c r="C768" i="2"/>
  <c r="E768" i="2" s="1"/>
  <c r="B768" i="2"/>
  <c r="D767" i="2"/>
  <c r="C767" i="2"/>
  <c r="E767" i="2" s="1"/>
  <c r="B767" i="2"/>
  <c r="D766" i="2"/>
  <c r="C766" i="2"/>
  <c r="E766" i="2" s="1"/>
  <c r="B766" i="2"/>
  <c r="E765" i="2"/>
  <c r="D765" i="2"/>
  <c r="C765" i="2"/>
  <c r="B765" i="2"/>
  <c r="D764" i="2"/>
  <c r="C764" i="2"/>
  <c r="E764" i="2" s="1"/>
  <c r="B764" i="2"/>
  <c r="D763" i="2"/>
  <c r="C763" i="2"/>
  <c r="E763" i="2" s="1"/>
  <c r="B763" i="2"/>
  <c r="D762" i="2"/>
  <c r="C762" i="2"/>
  <c r="E762" i="2" s="1"/>
  <c r="B762" i="2"/>
  <c r="E761" i="2"/>
  <c r="D761" i="2"/>
  <c r="C761" i="2"/>
  <c r="B761" i="2"/>
  <c r="D760" i="2"/>
  <c r="C760" i="2"/>
  <c r="E760" i="2" s="1"/>
  <c r="B760" i="2"/>
  <c r="E759" i="2"/>
  <c r="D759" i="2"/>
  <c r="C759" i="2"/>
  <c r="B759" i="2"/>
  <c r="D758" i="2"/>
  <c r="C758" i="2"/>
  <c r="E758" i="2" s="1"/>
  <c r="B758" i="2"/>
  <c r="E757" i="2"/>
  <c r="D757" i="2"/>
  <c r="C757" i="2"/>
  <c r="B757" i="2"/>
  <c r="D756" i="2"/>
  <c r="C756" i="2"/>
  <c r="E756" i="2" s="1"/>
  <c r="B756" i="2"/>
  <c r="E755" i="2"/>
  <c r="D755" i="2"/>
  <c r="C755" i="2"/>
  <c r="B755" i="2"/>
  <c r="D754" i="2"/>
  <c r="C754" i="2"/>
  <c r="E754" i="2" s="1"/>
  <c r="D753" i="2"/>
  <c r="C753" i="2"/>
  <c r="E753" i="2" s="1"/>
  <c r="D752" i="2"/>
  <c r="C752" i="2"/>
  <c r="E752" i="2" s="1"/>
  <c r="D751" i="2"/>
  <c r="C751" i="2"/>
  <c r="E751" i="2" s="1"/>
  <c r="D750" i="2"/>
  <c r="C750" i="2"/>
  <c r="E750" i="2" s="1"/>
  <c r="E749" i="2"/>
  <c r="D749" i="2"/>
  <c r="C749" i="2"/>
  <c r="D748" i="2"/>
  <c r="C748" i="2"/>
  <c r="E748" i="2" s="1"/>
  <c r="D747" i="2"/>
  <c r="C747" i="2"/>
  <c r="E747" i="2" s="1"/>
  <c r="D746" i="2"/>
  <c r="C746" i="2"/>
  <c r="E746" i="2" s="1"/>
  <c r="E745" i="2"/>
  <c r="D745" i="2"/>
  <c r="C745" i="2"/>
  <c r="D744" i="2"/>
  <c r="C744" i="2"/>
  <c r="E744" i="2" s="1"/>
  <c r="E743" i="2"/>
  <c r="D743" i="2"/>
  <c r="C743" i="2"/>
  <c r="D742" i="2"/>
  <c r="C742" i="2"/>
  <c r="E742" i="2" s="1"/>
  <c r="E741" i="2"/>
  <c r="D741" i="2"/>
  <c r="C741" i="2"/>
  <c r="D740" i="2"/>
  <c r="C740" i="2"/>
  <c r="E740" i="2" s="1"/>
  <c r="E739" i="2"/>
  <c r="D739" i="2"/>
  <c r="C739" i="2"/>
  <c r="D738" i="2"/>
  <c r="C738" i="2"/>
  <c r="E738" i="2" s="1"/>
  <c r="D737" i="2"/>
  <c r="C737" i="2"/>
  <c r="E737" i="2" s="1"/>
  <c r="D736" i="2"/>
  <c r="C736" i="2"/>
  <c r="E736" i="2" s="1"/>
  <c r="D735" i="2"/>
  <c r="C735" i="2"/>
  <c r="E735" i="2" s="1"/>
  <c r="D734" i="2"/>
  <c r="C734" i="2"/>
  <c r="E734" i="2" s="1"/>
  <c r="E733" i="2"/>
  <c r="D733" i="2"/>
  <c r="C733" i="2"/>
  <c r="D732" i="2"/>
  <c r="C732" i="2"/>
  <c r="E732" i="2" s="1"/>
  <c r="D731" i="2"/>
  <c r="C731" i="2"/>
  <c r="E731" i="2" s="1"/>
  <c r="D730" i="2"/>
  <c r="C730" i="2"/>
  <c r="E730" i="2" s="1"/>
  <c r="E729" i="2"/>
  <c r="D729" i="2"/>
  <c r="C729" i="2"/>
  <c r="D728" i="2"/>
  <c r="C728" i="2"/>
  <c r="E728" i="2" s="1"/>
  <c r="E727" i="2"/>
  <c r="D727" i="2"/>
  <c r="C727" i="2"/>
  <c r="D726" i="2"/>
  <c r="C726" i="2"/>
  <c r="E726" i="2" s="1"/>
  <c r="E725" i="2"/>
  <c r="D725" i="2"/>
  <c r="C725" i="2"/>
  <c r="D724" i="2"/>
  <c r="C724" i="2"/>
  <c r="E724" i="2" s="1"/>
  <c r="E723" i="2"/>
  <c r="D723" i="2"/>
  <c r="C723" i="2"/>
  <c r="D722" i="2"/>
  <c r="C722" i="2"/>
  <c r="E722" i="2" s="1"/>
  <c r="D721" i="2"/>
  <c r="C721" i="2"/>
  <c r="E721" i="2" s="1"/>
  <c r="D720" i="2"/>
  <c r="C720" i="2"/>
  <c r="E720" i="2" s="1"/>
  <c r="D719" i="2"/>
  <c r="C719" i="2"/>
  <c r="E719" i="2" s="1"/>
  <c r="D718" i="2"/>
  <c r="C718" i="2"/>
  <c r="E718" i="2" s="1"/>
  <c r="E717" i="2"/>
  <c r="D717" i="2"/>
  <c r="C717" i="2"/>
  <c r="D716" i="2"/>
  <c r="C716" i="2"/>
  <c r="E716" i="2" s="1"/>
  <c r="D715" i="2"/>
  <c r="C715" i="2"/>
  <c r="E715" i="2" s="1"/>
  <c r="D714" i="2"/>
  <c r="C714" i="2"/>
  <c r="E714" i="2" s="1"/>
  <c r="D713" i="2"/>
  <c r="C713" i="2"/>
  <c r="E713" i="2" s="1"/>
  <c r="D712" i="2"/>
  <c r="C712" i="2"/>
  <c r="E712" i="2" s="1"/>
  <c r="E711" i="2"/>
  <c r="D711" i="2"/>
  <c r="C711" i="2"/>
  <c r="D710" i="2"/>
  <c r="C710" i="2"/>
  <c r="E710" i="2" s="1"/>
  <c r="E709" i="2"/>
  <c r="D709" i="2"/>
  <c r="C709" i="2"/>
  <c r="D708" i="2"/>
  <c r="C708" i="2"/>
  <c r="E708" i="2" s="1"/>
  <c r="E707" i="2"/>
  <c r="D707" i="2"/>
  <c r="C707" i="2"/>
  <c r="D706" i="2"/>
  <c r="C706" i="2"/>
  <c r="E706" i="2" s="1"/>
  <c r="D705" i="2"/>
  <c r="C705" i="2"/>
  <c r="E705" i="2" s="1"/>
  <c r="D704" i="2"/>
  <c r="C704" i="2"/>
  <c r="E704" i="2" s="1"/>
  <c r="D703" i="2"/>
  <c r="C703" i="2"/>
  <c r="E703" i="2" s="1"/>
  <c r="D702" i="2"/>
  <c r="C702" i="2"/>
  <c r="E702" i="2" s="1"/>
  <c r="E701" i="2"/>
  <c r="D701" i="2"/>
  <c r="C701" i="2"/>
  <c r="E700" i="2"/>
  <c r="D700" i="2"/>
  <c r="C700" i="2"/>
  <c r="E699" i="2"/>
  <c r="D699" i="2"/>
  <c r="C699" i="2"/>
  <c r="E698" i="2"/>
  <c r="D698" i="2"/>
  <c r="C698" i="2"/>
  <c r="E697" i="2"/>
  <c r="D697" i="2"/>
  <c r="C697" i="2"/>
  <c r="E696" i="2"/>
  <c r="D696" i="2"/>
  <c r="C696" i="2"/>
  <c r="E695" i="2"/>
  <c r="D695" i="2"/>
  <c r="C695" i="2"/>
  <c r="E694" i="2"/>
  <c r="D694" i="2"/>
  <c r="C694" i="2"/>
  <c r="E693" i="2"/>
  <c r="D693" i="2"/>
  <c r="C693" i="2"/>
  <c r="E692" i="2"/>
  <c r="D692" i="2"/>
  <c r="C692" i="2"/>
  <c r="E691" i="2"/>
  <c r="D691" i="2"/>
  <c r="C691" i="2"/>
  <c r="E690" i="2"/>
  <c r="D690" i="2"/>
  <c r="C690" i="2"/>
  <c r="E689" i="2"/>
  <c r="D689" i="2"/>
  <c r="C689" i="2"/>
  <c r="E688" i="2"/>
  <c r="D688" i="2"/>
  <c r="C688" i="2"/>
  <c r="E687" i="2"/>
  <c r="D687" i="2"/>
  <c r="C687" i="2"/>
  <c r="E686" i="2"/>
  <c r="D686" i="2"/>
  <c r="C686" i="2"/>
  <c r="E685" i="2"/>
  <c r="D685" i="2"/>
  <c r="C685" i="2"/>
  <c r="E684" i="2"/>
  <c r="D684" i="2"/>
  <c r="C684" i="2"/>
  <c r="E683" i="2"/>
  <c r="D683" i="2"/>
  <c r="C683" i="2"/>
  <c r="E682" i="2"/>
  <c r="D682" i="2"/>
  <c r="C682" i="2"/>
  <c r="E681" i="2"/>
  <c r="D681" i="2"/>
  <c r="C681" i="2"/>
  <c r="E680" i="2"/>
  <c r="D680" i="2"/>
  <c r="C680" i="2"/>
  <c r="E679" i="2"/>
  <c r="D679" i="2"/>
  <c r="C679" i="2"/>
  <c r="E678" i="2"/>
  <c r="D678" i="2"/>
  <c r="C678" i="2"/>
  <c r="E677" i="2"/>
  <c r="D677" i="2"/>
  <c r="C677" i="2"/>
  <c r="E676" i="2"/>
  <c r="D676" i="2"/>
  <c r="C676" i="2"/>
  <c r="E675" i="2"/>
  <c r="D675" i="2"/>
  <c r="C675" i="2"/>
  <c r="E674" i="2"/>
  <c r="D674" i="2"/>
  <c r="C674" i="2"/>
  <c r="E673" i="2"/>
  <c r="D673" i="2"/>
  <c r="C673" i="2"/>
  <c r="E672" i="2"/>
  <c r="D672" i="2"/>
  <c r="C672" i="2"/>
  <c r="E671" i="2"/>
  <c r="D671" i="2"/>
  <c r="C671" i="2"/>
  <c r="E670" i="2"/>
  <c r="D670" i="2"/>
  <c r="C670" i="2"/>
  <c r="E669" i="2"/>
  <c r="D669" i="2"/>
  <c r="C669" i="2"/>
  <c r="E668" i="2"/>
  <c r="D668" i="2"/>
  <c r="C668" i="2"/>
  <c r="E667" i="2"/>
  <c r="D667" i="2"/>
  <c r="C667" i="2"/>
  <c r="E666" i="2"/>
  <c r="D666" i="2"/>
  <c r="C666" i="2"/>
  <c r="E665" i="2"/>
  <c r="D665" i="2"/>
  <c r="C665" i="2"/>
  <c r="E664" i="2"/>
  <c r="D664" i="2"/>
  <c r="C664" i="2"/>
  <c r="E663" i="2"/>
  <c r="D663" i="2"/>
  <c r="C663" i="2"/>
  <c r="E662" i="2"/>
  <c r="D662" i="2"/>
  <c r="C662" i="2"/>
  <c r="E661" i="2"/>
  <c r="D661" i="2"/>
  <c r="C661" i="2"/>
  <c r="E660" i="2"/>
  <c r="D660" i="2"/>
  <c r="C660" i="2"/>
  <c r="E659" i="2"/>
  <c r="D659" i="2"/>
  <c r="C659" i="2"/>
  <c r="E658" i="2"/>
  <c r="D658" i="2"/>
  <c r="C658" i="2"/>
  <c r="E657" i="2"/>
  <c r="D657" i="2"/>
  <c r="C657" i="2"/>
  <c r="E656" i="2"/>
  <c r="D656" i="2"/>
  <c r="C656" i="2"/>
  <c r="E655" i="2"/>
  <c r="D655" i="2"/>
  <c r="C655" i="2"/>
  <c r="E654" i="2"/>
  <c r="D654" i="2"/>
  <c r="C654" i="2"/>
  <c r="E653" i="2"/>
  <c r="D653" i="2"/>
  <c r="C653" i="2"/>
  <c r="E652" i="2"/>
  <c r="D652" i="2"/>
  <c r="C652" i="2"/>
  <c r="E651" i="2"/>
  <c r="D651" i="2"/>
  <c r="C651" i="2"/>
  <c r="E650" i="2"/>
  <c r="D650" i="2"/>
  <c r="C650" i="2"/>
  <c r="E649" i="2"/>
  <c r="D649" i="2"/>
  <c r="C649" i="2"/>
  <c r="E648" i="2"/>
  <c r="D648" i="2"/>
  <c r="C648" i="2"/>
  <c r="E647" i="2"/>
  <c r="D647" i="2"/>
  <c r="C647" i="2"/>
  <c r="E646" i="2"/>
  <c r="D646" i="2"/>
  <c r="C646" i="2"/>
  <c r="E645" i="2"/>
  <c r="D645" i="2"/>
  <c r="C645" i="2"/>
  <c r="E644" i="2"/>
  <c r="D644" i="2"/>
  <c r="C644" i="2"/>
  <c r="E643" i="2"/>
  <c r="D643" i="2"/>
  <c r="C643" i="2"/>
  <c r="E642" i="2"/>
  <c r="D642" i="2"/>
  <c r="C642" i="2"/>
  <c r="E641" i="2"/>
  <c r="D641" i="2"/>
  <c r="C641" i="2"/>
  <c r="E640" i="2"/>
  <c r="D640" i="2"/>
  <c r="C640" i="2"/>
  <c r="E639" i="2"/>
  <c r="D639" i="2"/>
  <c r="C639" i="2"/>
  <c r="E638" i="2"/>
  <c r="D638" i="2"/>
  <c r="C638" i="2"/>
  <c r="E637" i="2"/>
  <c r="D637" i="2"/>
  <c r="C637" i="2"/>
  <c r="E636" i="2"/>
  <c r="D636" i="2"/>
  <c r="C636" i="2"/>
  <c r="E635" i="2"/>
  <c r="D635" i="2"/>
  <c r="C635" i="2"/>
  <c r="E634" i="2"/>
  <c r="D634" i="2"/>
  <c r="C634" i="2"/>
  <c r="E633" i="2"/>
  <c r="D633" i="2"/>
  <c r="C633" i="2"/>
  <c r="E632" i="2"/>
  <c r="D632" i="2"/>
  <c r="C632" i="2"/>
  <c r="E631" i="2"/>
  <c r="D631" i="2"/>
  <c r="C631" i="2"/>
  <c r="E630" i="2"/>
  <c r="D630" i="2"/>
  <c r="C630" i="2"/>
  <c r="E629" i="2"/>
  <c r="D629" i="2"/>
  <c r="C629" i="2"/>
  <c r="E628" i="2"/>
  <c r="D628" i="2"/>
  <c r="C628" i="2"/>
  <c r="E627" i="2"/>
  <c r="D627" i="2"/>
  <c r="C627" i="2"/>
  <c r="E626" i="2"/>
  <c r="D626" i="2"/>
  <c r="C626" i="2"/>
  <c r="E625" i="2"/>
  <c r="D625" i="2"/>
  <c r="C625" i="2"/>
  <c r="E624" i="2"/>
  <c r="D624" i="2"/>
  <c r="C624" i="2"/>
  <c r="E623" i="2"/>
  <c r="D623" i="2"/>
  <c r="C623" i="2"/>
  <c r="E622" i="2"/>
  <c r="D622" i="2"/>
  <c r="C622" i="2"/>
  <c r="E621" i="2"/>
  <c r="D621" i="2"/>
  <c r="C621" i="2"/>
  <c r="E620" i="2"/>
  <c r="D620" i="2"/>
  <c r="C620" i="2"/>
  <c r="E619" i="2"/>
  <c r="D619" i="2"/>
  <c r="C619" i="2"/>
  <c r="E618" i="2"/>
  <c r="D618" i="2"/>
  <c r="C618" i="2"/>
  <c r="E617" i="2"/>
  <c r="D617" i="2"/>
  <c r="C617" i="2"/>
  <c r="E616" i="2"/>
  <c r="D616" i="2"/>
  <c r="C616" i="2"/>
  <c r="E615" i="2"/>
  <c r="D615" i="2"/>
  <c r="C615" i="2"/>
  <c r="E614" i="2"/>
  <c r="D614" i="2"/>
  <c r="C614" i="2"/>
  <c r="E613" i="2"/>
  <c r="D613" i="2"/>
  <c r="C613" i="2"/>
  <c r="E612" i="2"/>
  <c r="D612" i="2"/>
  <c r="C612" i="2"/>
  <c r="E611" i="2"/>
  <c r="D611" i="2"/>
  <c r="C611" i="2"/>
  <c r="E610" i="2"/>
  <c r="D610" i="2"/>
  <c r="C610" i="2"/>
  <c r="E609" i="2"/>
  <c r="D609" i="2"/>
  <c r="C609" i="2"/>
  <c r="E608" i="2"/>
  <c r="D608" i="2"/>
  <c r="C608" i="2"/>
  <c r="E607" i="2"/>
  <c r="D607" i="2"/>
  <c r="C607" i="2"/>
  <c r="E606" i="2"/>
  <c r="D606" i="2"/>
  <c r="C606" i="2"/>
  <c r="E605" i="2"/>
  <c r="D605" i="2"/>
  <c r="C605" i="2"/>
  <c r="E604" i="2"/>
  <c r="D604" i="2"/>
  <c r="C604" i="2"/>
  <c r="E603" i="2"/>
  <c r="D603" i="2"/>
  <c r="C603" i="2"/>
  <c r="E602" i="2"/>
  <c r="D602" i="2"/>
  <c r="C602" i="2"/>
  <c r="E601" i="2"/>
  <c r="D601" i="2"/>
  <c r="C601" i="2"/>
  <c r="E600" i="2"/>
  <c r="D600" i="2"/>
  <c r="C600" i="2"/>
  <c r="E599" i="2"/>
  <c r="D599" i="2"/>
  <c r="C599" i="2"/>
  <c r="E598" i="2"/>
  <c r="D598" i="2"/>
  <c r="C598" i="2"/>
  <c r="E597" i="2"/>
  <c r="D597" i="2"/>
  <c r="C597" i="2"/>
  <c r="E596" i="2"/>
  <c r="D596" i="2"/>
  <c r="C596" i="2"/>
  <c r="E595" i="2"/>
  <c r="D595" i="2"/>
  <c r="C595" i="2"/>
  <c r="E594" i="2"/>
  <c r="D594" i="2"/>
  <c r="C594" i="2"/>
  <c r="E593" i="2"/>
  <c r="D593" i="2"/>
  <c r="C593" i="2"/>
  <c r="D592" i="2"/>
  <c r="C592" i="2"/>
  <c r="E592" i="2" s="1"/>
  <c r="E591" i="2"/>
  <c r="D591" i="2"/>
  <c r="C591" i="2"/>
  <c r="E590" i="2"/>
  <c r="D590" i="2"/>
  <c r="C590" i="2"/>
  <c r="E589" i="2"/>
  <c r="D589" i="2"/>
  <c r="C589" i="2"/>
  <c r="D588" i="2"/>
  <c r="C588" i="2"/>
  <c r="E588" i="2" s="1"/>
  <c r="E587" i="2"/>
  <c r="D587" i="2"/>
  <c r="C587" i="2"/>
  <c r="E586" i="2"/>
  <c r="D586" i="2"/>
  <c r="C586" i="2"/>
  <c r="E585" i="2"/>
  <c r="D585" i="2"/>
  <c r="C585" i="2"/>
  <c r="D584" i="2"/>
  <c r="C584" i="2"/>
  <c r="E584" i="2" s="1"/>
  <c r="E583" i="2"/>
  <c r="D583" i="2"/>
  <c r="C583" i="2"/>
  <c r="E582" i="2"/>
  <c r="D582" i="2"/>
  <c r="C582" i="2"/>
  <c r="E581" i="2"/>
  <c r="D581" i="2"/>
  <c r="C581" i="2"/>
  <c r="D580" i="2"/>
  <c r="C580" i="2"/>
  <c r="E580" i="2" s="1"/>
  <c r="E579" i="2"/>
  <c r="D579" i="2"/>
  <c r="C579" i="2"/>
  <c r="E578" i="2"/>
  <c r="D578" i="2"/>
  <c r="C578" i="2"/>
  <c r="E577" i="2"/>
  <c r="D577" i="2"/>
  <c r="C577" i="2"/>
  <c r="D576" i="2"/>
  <c r="C576" i="2"/>
  <c r="E576" i="2" s="1"/>
  <c r="E575" i="2"/>
  <c r="D575" i="2"/>
  <c r="C575" i="2"/>
  <c r="E574" i="2"/>
  <c r="D574" i="2"/>
  <c r="C574" i="2"/>
  <c r="E573" i="2"/>
  <c r="D573" i="2"/>
  <c r="C573" i="2"/>
  <c r="D572" i="2"/>
  <c r="C572" i="2"/>
  <c r="E572" i="2" s="1"/>
  <c r="E571" i="2"/>
  <c r="D571" i="2"/>
  <c r="C571" i="2"/>
  <c r="E570" i="2"/>
  <c r="D570" i="2"/>
  <c r="C570" i="2"/>
  <c r="E569" i="2"/>
  <c r="D569" i="2"/>
  <c r="C569" i="2"/>
  <c r="D568" i="2"/>
  <c r="C568" i="2"/>
  <c r="E568" i="2" s="1"/>
  <c r="E567" i="2"/>
  <c r="D567" i="2"/>
  <c r="C567" i="2"/>
  <c r="E566" i="2"/>
  <c r="D566" i="2"/>
  <c r="C566" i="2"/>
  <c r="E565" i="2"/>
  <c r="D565" i="2"/>
  <c r="C565" i="2"/>
  <c r="D564" i="2"/>
  <c r="C564" i="2"/>
  <c r="E564" i="2" s="1"/>
  <c r="E563" i="2"/>
  <c r="D563" i="2"/>
  <c r="C563" i="2"/>
  <c r="E562" i="2"/>
  <c r="D562" i="2"/>
  <c r="C562" i="2"/>
  <c r="E561" i="2"/>
  <c r="D561" i="2"/>
  <c r="C561" i="2"/>
  <c r="D560" i="2"/>
  <c r="C560" i="2"/>
  <c r="E560" i="2" s="1"/>
  <c r="E559" i="2"/>
  <c r="D559" i="2"/>
  <c r="C559" i="2"/>
  <c r="E558" i="2"/>
  <c r="D558" i="2"/>
  <c r="C558" i="2"/>
  <c r="E557" i="2"/>
  <c r="D557" i="2"/>
  <c r="C557" i="2"/>
  <c r="D556" i="2"/>
  <c r="C556" i="2"/>
  <c r="E556" i="2" s="1"/>
  <c r="E555" i="2"/>
  <c r="D555" i="2"/>
  <c r="C555" i="2"/>
  <c r="E554" i="2"/>
  <c r="D554" i="2"/>
  <c r="C554" i="2"/>
  <c r="E553" i="2"/>
  <c r="D553" i="2"/>
  <c r="C553" i="2"/>
  <c r="D552" i="2"/>
  <c r="C552" i="2"/>
  <c r="E552" i="2" s="1"/>
  <c r="E551" i="2"/>
  <c r="D551" i="2"/>
  <c r="C551" i="2"/>
  <c r="E550" i="2"/>
  <c r="D550" i="2"/>
  <c r="C550" i="2"/>
  <c r="E549" i="2"/>
  <c r="D549" i="2"/>
  <c r="C549" i="2"/>
  <c r="D548" i="2"/>
  <c r="C548" i="2"/>
  <c r="E548" i="2" s="1"/>
  <c r="E547" i="2"/>
  <c r="D547" i="2"/>
  <c r="C547" i="2"/>
  <c r="E546" i="2"/>
  <c r="D546" i="2"/>
  <c r="C546" i="2"/>
  <c r="E545" i="2"/>
  <c r="D545" i="2"/>
  <c r="C545" i="2"/>
  <c r="E544" i="2"/>
  <c r="D544" i="2"/>
  <c r="C544" i="2"/>
  <c r="E543" i="2"/>
  <c r="D543" i="2"/>
  <c r="C543" i="2"/>
  <c r="D542" i="2"/>
  <c r="C542" i="2"/>
  <c r="E542" i="2" s="1"/>
  <c r="E541" i="2"/>
  <c r="D541" i="2"/>
  <c r="C541" i="2"/>
  <c r="E540" i="2"/>
  <c r="D540" i="2"/>
  <c r="C540" i="2"/>
  <c r="E539" i="2"/>
  <c r="D539" i="2"/>
  <c r="C539" i="2"/>
  <c r="E538" i="2"/>
  <c r="D538" i="2"/>
  <c r="C538" i="2"/>
  <c r="E537" i="2"/>
  <c r="D537" i="2"/>
  <c r="C537" i="2"/>
  <c r="D536" i="2"/>
  <c r="C536" i="2"/>
  <c r="E536" i="2" s="1"/>
  <c r="E535" i="2"/>
  <c r="D535" i="2"/>
  <c r="C535" i="2"/>
  <c r="D534" i="2"/>
  <c r="C534" i="2"/>
  <c r="E534" i="2" s="1"/>
  <c r="E533" i="2"/>
  <c r="D533" i="2"/>
  <c r="C533" i="2"/>
  <c r="E532" i="2"/>
  <c r="D532" i="2"/>
  <c r="C532" i="2"/>
  <c r="E531" i="2"/>
  <c r="D531" i="2"/>
  <c r="C531" i="2"/>
  <c r="E530" i="2"/>
  <c r="D530" i="2"/>
  <c r="C530" i="2"/>
  <c r="E529" i="2"/>
  <c r="D529" i="2"/>
  <c r="C529" i="2"/>
  <c r="E528" i="2"/>
  <c r="D528" i="2"/>
  <c r="C528" i="2"/>
  <c r="E527" i="2"/>
  <c r="D527" i="2"/>
  <c r="C527" i="2"/>
  <c r="D526" i="2"/>
  <c r="C526" i="2"/>
  <c r="E526" i="2" s="1"/>
  <c r="E525" i="2"/>
  <c r="D525" i="2"/>
  <c r="C525" i="2"/>
  <c r="E524" i="2"/>
  <c r="D524" i="2"/>
  <c r="C524" i="2"/>
  <c r="E523" i="2"/>
  <c r="D523" i="2"/>
  <c r="C523" i="2"/>
  <c r="E522" i="2"/>
  <c r="D522" i="2"/>
  <c r="C522" i="2"/>
  <c r="E521" i="2"/>
  <c r="D521" i="2"/>
  <c r="C521" i="2"/>
  <c r="D520" i="2"/>
  <c r="C520" i="2"/>
  <c r="E520" i="2" s="1"/>
  <c r="E519" i="2"/>
  <c r="D519" i="2"/>
  <c r="C519" i="2"/>
  <c r="D518" i="2"/>
  <c r="C518" i="2"/>
  <c r="E518" i="2" s="1"/>
  <c r="E517" i="2"/>
  <c r="D517" i="2"/>
  <c r="C517" i="2"/>
  <c r="E516" i="2"/>
  <c r="D516" i="2"/>
  <c r="C516" i="2"/>
  <c r="E515" i="2"/>
  <c r="D515" i="2"/>
  <c r="C515" i="2"/>
  <c r="E514" i="2"/>
  <c r="D514" i="2"/>
  <c r="C514" i="2"/>
  <c r="E513" i="2"/>
  <c r="D513" i="2"/>
  <c r="C513" i="2"/>
  <c r="E512" i="2"/>
  <c r="D512" i="2"/>
  <c r="C512" i="2"/>
  <c r="E511" i="2"/>
  <c r="D511" i="2"/>
  <c r="C511" i="2"/>
  <c r="D510" i="2"/>
  <c r="C510" i="2"/>
  <c r="E510" i="2" s="1"/>
  <c r="E509" i="2"/>
  <c r="D509" i="2"/>
  <c r="C509" i="2"/>
  <c r="E508" i="2"/>
  <c r="D508" i="2"/>
  <c r="C508" i="2"/>
  <c r="E507" i="2"/>
  <c r="D507" i="2"/>
  <c r="C507" i="2"/>
  <c r="E506" i="2"/>
  <c r="D506" i="2"/>
  <c r="C506" i="2"/>
  <c r="E505" i="2"/>
  <c r="D505" i="2"/>
  <c r="C505" i="2"/>
  <c r="D504" i="2"/>
  <c r="C504" i="2"/>
  <c r="E504" i="2" s="1"/>
  <c r="E503" i="2"/>
  <c r="D503" i="2"/>
  <c r="C503" i="2"/>
  <c r="D502" i="2"/>
  <c r="C502" i="2"/>
  <c r="E502" i="2" s="1"/>
  <c r="E501" i="2"/>
  <c r="D501" i="2"/>
  <c r="C501" i="2"/>
  <c r="E500" i="2"/>
  <c r="D500" i="2"/>
  <c r="C500" i="2"/>
  <c r="E499" i="2"/>
  <c r="D499" i="2"/>
  <c r="C499" i="2"/>
  <c r="E498" i="2"/>
  <c r="D498" i="2"/>
  <c r="C498" i="2"/>
  <c r="E497" i="2"/>
  <c r="D497" i="2"/>
  <c r="C497" i="2"/>
  <c r="E496" i="2"/>
  <c r="D496" i="2"/>
  <c r="C496" i="2"/>
  <c r="D495" i="2"/>
  <c r="C495" i="2"/>
  <c r="E495" i="2" s="1"/>
  <c r="D494" i="2"/>
  <c r="C494" i="2"/>
  <c r="E494" i="2" s="1"/>
  <c r="E493" i="2"/>
  <c r="D493" i="2"/>
  <c r="C493" i="2"/>
  <c r="E492" i="2"/>
  <c r="D492" i="2"/>
  <c r="C492" i="2"/>
  <c r="E491" i="2"/>
  <c r="D491" i="2"/>
  <c r="C491" i="2"/>
  <c r="E490" i="2"/>
  <c r="D490" i="2"/>
  <c r="C490" i="2"/>
  <c r="E489" i="2"/>
  <c r="D489" i="2"/>
  <c r="C489" i="2"/>
  <c r="D488" i="2"/>
  <c r="C488" i="2"/>
  <c r="E488" i="2" s="1"/>
  <c r="D487" i="2"/>
  <c r="C487" i="2"/>
  <c r="E487" i="2" s="1"/>
  <c r="D486" i="2"/>
  <c r="C486" i="2"/>
  <c r="E486" i="2" s="1"/>
  <c r="E485" i="2"/>
  <c r="D485" i="2"/>
  <c r="C485" i="2"/>
  <c r="E484" i="2"/>
  <c r="D484" i="2"/>
  <c r="C484" i="2"/>
  <c r="E483" i="2"/>
  <c r="D483" i="2"/>
  <c r="C483" i="2"/>
  <c r="E482" i="2"/>
  <c r="D482" i="2"/>
  <c r="C482" i="2"/>
  <c r="D481" i="2"/>
  <c r="C481" i="2"/>
  <c r="E481" i="2" s="1"/>
  <c r="E480" i="2"/>
  <c r="D480" i="2"/>
  <c r="C480" i="2"/>
  <c r="D479" i="2"/>
  <c r="C479" i="2"/>
  <c r="E479" i="2" s="1"/>
  <c r="D478" i="2"/>
  <c r="C478" i="2"/>
  <c r="E478" i="2" s="1"/>
  <c r="E477" i="2"/>
  <c r="D477" i="2"/>
  <c r="C477" i="2"/>
  <c r="E476" i="2"/>
  <c r="D476" i="2"/>
  <c r="C476" i="2"/>
  <c r="E475" i="2"/>
  <c r="D475" i="2"/>
  <c r="C475" i="2"/>
  <c r="E474" i="2"/>
  <c r="D474" i="2"/>
  <c r="C474" i="2"/>
  <c r="E473" i="2"/>
  <c r="D473" i="2"/>
  <c r="C473" i="2"/>
  <c r="D472" i="2"/>
  <c r="C472" i="2"/>
  <c r="E472" i="2" s="1"/>
  <c r="D471" i="2"/>
  <c r="C471" i="2"/>
  <c r="E471" i="2" s="1"/>
  <c r="D470" i="2"/>
  <c r="C470" i="2"/>
  <c r="E470" i="2" s="1"/>
  <c r="E469" i="2"/>
  <c r="D469" i="2"/>
  <c r="C469" i="2"/>
  <c r="E468" i="2"/>
  <c r="D468" i="2"/>
  <c r="C468" i="2"/>
  <c r="E467" i="2"/>
  <c r="D467" i="2"/>
  <c r="C467" i="2"/>
  <c r="E466" i="2"/>
  <c r="D466" i="2"/>
  <c r="C466" i="2"/>
  <c r="D465" i="2"/>
  <c r="C465" i="2"/>
  <c r="E465" i="2" s="1"/>
  <c r="E464" i="2"/>
  <c r="D464" i="2"/>
  <c r="C464" i="2"/>
  <c r="D463" i="2"/>
  <c r="C463" i="2"/>
  <c r="E463" i="2" s="1"/>
  <c r="D462" i="2"/>
  <c r="C462" i="2"/>
  <c r="E462" i="2" s="1"/>
  <c r="E461" i="2"/>
  <c r="D461" i="2"/>
  <c r="C461" i="2"/>
  <c r="E460" i="2"/>
  <c r="D460" i="2"/>
  <c r="C460" i="2"/>
  <c r="E459" i="2"/>
  <c r="D459" i="2"/>
  <c r="C459" i="2"/>
  <c r="E458" i="2"/>
  <c r="D458" i="2"/>
  <c r="C458" i="2"/>
  <c r="E457" i="2"/>
  <c r="D457" i="2"/>
  <c r="C457" i="2"/>
  <c r="D456" i="2"/>
  <c r="C456" i="2"/>
  <c r="E456" i="2" s="1"/>
  <c r="D455" i="2"/>
  <c r="C455" i="2"/>
  <c r="E455" i="2" s="1"/>
  <c r="D454" i="2"/>
  <c r="C454" i="2"/>
  <c r="E454" i="2" s="1"/>
  <c r="E453" i="2"/>
  <c r="D453" i="2"/>
  <c r="C453" i="2"/>
  <c r="E452" i="2"/>
  <c r="D452" i="2"/>
  <c r="C452" i="2"/>
  <c r="E451" i="2"/>
  <c r="D451" i="2"/>
  <c r="C451" i="2"/>
  <c r="E450" i="2"/>
  <c r="D450" i="2"/>
  <c r="C450" i="2"/>
  <c r="E449" i="2"/>
  <c r="D449" i="2"/>
  <c r="C449" i="2"/>
  <c r="E448" i="2"/>
  <c r="D448" i="2"/>
  <c r="C448" i="2"/>
  <c r="E447" i="2"/>
  <c r="D447" i="2"/>
  <c r="C447" i="2"/>
  <c r="E446" i="2"/>
  <c r="D446" i="2"/>
  <c r="C446" i="2"/>
  <c r="E445" i="2"/>
  <c r="D445" i="2"/>
  <c r="C445" i="2"/>
  <c r="E444" i="2"/>
  <c r="D444" i="2"/>
  <c r="C444" i="2"/>
  <c r="E443" i="2"/>
  <c r="D443" i="2"/>
  <c r="C443" i="2"/>
  <c r="E442" i="2"/>
  <c r="D442" i="2"/>
  <c r="C442" i="2"/>
  <c r="E441" i="2"/>
  <c r="D441" i="2"/>
  <c r="C441" i="2"/>
  <c r="E440" i="2"/>
  <c r="D440" i="2"/>
  <c r="C440" i="2"/>
  <c r="E439" i="2"/>
  <c r="D439" i="2"/>
  <c r="C439" i="2"/>
  <c r="E438" i="2"/>
  <c r="D438" i="2"/>
  <c r="C438" i="2"/>
  <c r="E437" i="2"/>
  <c r="D437" i="2"/>
  <c r="C437" i="2"/>
  <c r="E436" i="2"/>
  <c r="D436" i="2"/>
  <c r="C436" i="2"/>
  <c r="E435" i="2"/>
  <c r="D435" i="2"/>
  <c r="C435" i="2"/>
  <c r="E434" i="2"/>
  <c r="D434" i="2"/>
  <c r="C434" i="2"/>
  <c r="E433" i="2"/>
  <c r="D433" i="2"/>
  <c r="C433" i="2"/>
  <c r="E432" i="2"/>
  <c r="D432" i="2"/>
  <c r="C432" i="2"/>
  <c r="E431" i="2"/>
  <c r="D431" i="2"/>
  <c r="C431" i="2"/>
  <c r="E430" i="2"/>
  <c r="D430" i="2"/>
  <c r="C430" i="2"/>
  <c r="E429" i="2"/>
  <c r="D429" i="2"/>
  <c r="C429" i="2"/>
  <c r="E428" i="2"/>
  <c r="D428" i="2"/>
  <c r="C428" i="2"/>
  <c r="E427" i="2"/>
  <c r="D427" i="2"/>
  <c r="C427" i="2"/>
  <c r="E426" i="2"/>
  <c r="D426" i="2"/>
  <c r="C426" i="2"/>
  <c r="E425" i="2"/>
  <c r="D425" i="2"/>
  <c r="C425" i="2"/>
  <c r="E424" i="2"/>
  <c r="D424" i="2"/>
  <c r="C424" i="2"/>
  <c r="E423" i="2"/>
  <c r="D423" i="2"/>
  <c r="C423" i="2"/>
  <c r="E422" i="2"/>
  <c r="D422" i="2"/>
  <c r="C422" i="2"/>
  <c r="E421" i="2"/>
  <c r="D421" i="2"/>
  <c r="C421" i="2"/>
  <c r="E420" i="2"/>
  <c r="D420" i="2"/>
  <c r="C420" i="2"/>
  <c r="E419" i="2"/>
  <c r="D419" i="2"/>
  <c r="C419" i="2"/>
  <c r="E418" i="2"/>
  <c r="D418" i="2"/>
  <c r="C418" i="2"/>
  <c r="E417" i="2"/>
  <c r="D417" i="2"/>
  <c r="C417" i="2"/>
  <c r="E416" i="2"/>
  <c r="D416" i="2"/>
  <c r="C416" i="2"/>
  <c r="E415" i="2"/>
  <c r="D415" i="2"/>
  <c r="C415" i="2"/>
  <c r="E414" i="2"/>
  <c r="D414" i="2"/>
  <c r="C414" i="2"/>
  <c r="E413" i="2"/>
  <c r="D413" i="2"/>
  <c r="C413" i="2"/>
  <c r="E412" i="2"/>
  <c r="D412" i="2"/>
  <c r="C412" i="2"/>
  <c r="E411" i="2"/>
  <c r="D411" i="2"/>
  <c r="C411" i="2"/>
  <c r="E410" i="2"/>
  <c r="D410" i="2"/>
  <c r="C410" i="2"/>
  <c r="E409" i="2"/>
  <c r="D409" i="2"/>
  <c r="C409" i="2"/>
  <c r="E408" i="2"/>
  <c r="D408" i="2"/>
  <c r="C408" i="2"/>
  <c r="E407" i="2"/>
  <c r="D407" i="2"/>
  <c r="C407" i="2"/>
  <c r="E406" i="2"/>
  <c r="D406" i="2"/>
  <c r="C406" i="2"/>
  <c r="E405" i="2"/>
  <c r="D405" i="2"/>
  <c r="C405" i="2"/>
  <c r="E404" i="2"/>
  <c r="D404" i="2"/>
  <c r="C404" i="2"/>
  <c r="E403" i="2"/>
  <c r="D403" i="2"/>
  <c r="C403" i="2"/>
  <c r="E402" i="2"/>
  <c r="D402" i="2"/>
  <c r="C402" i="2"/>
  <c r="E401" i="2"/>
  <c r="D401" i="2"/>
  <c r="C401" i="2"/>
  <c r="E400" i="2"/>
  <c r="D400" i="2"/>
  <c r="C400" i="2"/>
  <c r="E399" i="2"/>
  <c r="D399" i="2"/>
  <c r="C399" i="2"/>
  <c r="E398" i="2"/>
  <c r="D398" i="2"/>
  <c r="C398" i="2"/>
  <c r="E397" i="2"/>
  <c r="D397" i="2"/>
  <c r="C397" i="2"/>
  <c r="E396" i="2"/>
  <c r="D396" i="2"/>
  <c r="C396" i="2"/>
  <c r="E395" i="2"/>
  <c r="D395" i="2"/>
  <c r="C395" i="2"/>
  <c r="E394" i="2"/>
  <c r="D394" i="2"/>
  <c r="C394" i="2"/>
  <c r="E393" i="2"/>
  <c r="D393" i="2"/>
  <c r="C393" i="2"/>
  <c r="E392" i="2"/>
  <c r="D392" i="2"/>
  <c r="C392" i="2"/>
  <c r="E391" i="2"/>
  <c r="D391" i="2"/>
  <c r="C391" i="2"/>
  <c r="E390" i="2"/>
  <c r="D390" i="2"/>
  <c r="C390" i="2"/>
  <c r="E389" i="2"/>
  <c r="D389" i="2"/>
  <c r="C389" i="2"/>
  <c r="E388" i="2"/>
  <c r="D388" i="2"/>
  <c r="C388" i="2"/>
  <c r="E387" i="2"/>
  <c r="D387" i="2"/>
  <c r="C387" i="2"/>
  <c r="E386" i="2"/>
  <c r="D386" i="2"/>
  <c r="C386" i="2"/>
  <c r="E385" i="2"/>
  <c r="D385" i="2"/>
  <c r="C385" i="2"/>
  <c r="E384" i="2"/>
  <c r="D384" i="2"/>
  <c r="C384" i="2"/>
  <c r="E383" i="2"/>
  <c r="D383" i="2"/>
  <c r="C383" i="2"/>
  <c r="E382" i="2"/>
  <c r="D382" i="2"/>
  <c r="C382" i="2"/>
  <c r="E381" i="2"/>
  <c r="D381" i="2"/>
  <c r="C381" i="2"/>
  <c r="E380" i="2"/>
  <c r="D380" i="2"/>
  <c r="C380" i="2"/>
  <c r="E379" i="2"/>
  <c r="D379" i="2"/>
  <c r="C379" i="2"/>
  <c r="E378" i="2"/>
  <c r="D378" i="2"/>
  <c r="C378" i="2"/>
  <c r="E377" i="2"/>
  <c r="D377" i="2"/>
  <c r="C377" i="2"/>
  <c r="E376" i="2"/>
  <c r="D376" i="2"/>
  <c r="C376" i="2"/>
  <c r="E375" i="2"/>
  <c r="D375" i="2"/>
  <c r="C375" i="2"/>
  <c r="E374" i="2"/>
  <c r="D374" i="2"/>
  <c r="C374" i="2"/>
  <c r="E373" i="2"/>
  <c r="D373" i="2"/>
  <c r="C373" i="2"/>
  <c r="E372" i="2"/>
  <c r="D372" i="2"/>
  <c r="C372" i="2"/>
  <c r="E371" i="2"/>
  <c r="D371" i="2"/>
  <c r="C371" i="2"/>
  <c r="E370" i="2"/>
  <c r="D370" i="2"/>
  <c r="C370" i="2"/>
  <c r="E369" i="2"/>
  <c r="D369" i="2"/>
  <c r="C369" i="2"/>
  <c r="E368" i="2"/>
  <c r="D368" i="2"/>
  <c r="C368" i="2"/>
  <c r="E367" i="2"/>
  <c r="D367" i="2"/>
  <c r="C367" i="2"/>
  <c r="E366" i="2"/>
  <c r="D366" i="2"/>
  <c r="C366" i="2"/>
  <c r="E365" i="2"/>
  <c r="D365" i="2"/>
  <c r="C365" i="2"/>
  <c r="E364" i="2"/>
  <c r="D364" i="2"/>
  <c r="C364" i="2"/>
  <c r="E363" i="2"/>
  <c r="D363" i="2"/>
  <c r="C363" i="2"/>
  <c r="E362" i="2"/>
  <c r="D362" i="2"/>
  <c r="C362" i="2"/>
  <c r="E361" i="2"/>
  <c r="D361" i="2"/>
  <c r="C361" i="2"/>
  <c r="E360" i="2"/>
  <c r="D360" i="2"/>
  <c r="C360" i="2"/>
  <c r="E359" i="2"/>
  <c r="D359" i="2"/>
  <c r="C359" i="2"/>
  <c r="E358" i="2"/>
  <c r="D358" i="2"/>
  <c r="C358" i="2"/>
  <c r="E357" i="2"/>
  <c r="D357" i="2"/>
  <c r="C357" i="2"/>
  <c r="E356" i="2"/>
  <c r="D356" i="2"/>
  <c r="C356" i="2"/>
  <c r="E355" i="2"/>
  <c r="D355" i="2"/>
  <c r="C355" i="2"/>
  <c r="E354" i="2"/>
  <c r="D354" i="2"/>
  <c r="C354" i="2"/>
  <c r="E353" i="2"/>
  <c r="D353" i="2"/>
  <c r="C353" i="2"/>
  <c r="E352" i="2"/>
  <c r="D352" i="2"/>
  <c r="C352" i="2"/>
  <c r="E351" i="2"/>
  <c r="D351" i="2"/>
  <c r="C351" i="2"/>
  <c r="E350" i="2"/>
  <c r="D350" i="2"/>
  <c r="C350" i="2"/>
  <c r="E349" i="2"/>
  <c r="D349" i="2"/>
  <c r="C349" i="2"/>
  <c r="E348" i="2"/>
  <c r="D348" i="2"/>
  <c r="C348" i="2"/>
  <c r="E347" i="2"/>
  <c r="D347" i="2"/>
  <c r="C347" i="2"/>
  <c r="E346" i="2"/>
  <c r="D346" i="2"/>
  <c r="C346" i="2"/>
  <c r="E345" i="2"/>
  <c r="D345" i="2"/>
  <c r="C345" i="2"/>
  <c r="E344" i="2"/>
  <c r="D344" i="2"/>
  <c r="C344" i="2"/>
  <c r="E343" i="2"/>
  <c r="D343" i="2"/>
  <c r="C343" i="2"/>
  <c r="E342" i="2"/>
  <c r="D342" i="2"/>
  <c r="C342" i="2"/>
  <c r="E341" i="2"/>
  <c r="D341" i="2"/>
  <c r="C341" i="2"/>
  <c r="E340" i="2"/>
  <c r="D340" i="2"/>
  <c r="C340" i="2"/>
  <c r="E339" i="2"/>
  <c r="D339" i="2"/>
  <c r="C339" i="2"/>
  <c r="E338" i="2"/>
  <c r="D338" i="2"/>
  <c r="C338" i="2"/>
  <c r="E337" i="2"/>
  <c r="D337" i="2"/>
  <c r="C337" i="2"/>
  <c r="E336" i="2"/>
  <c r="D336" i="2"/>
  <c r="C336" i="2"/>
  <c r="E335" i="2"/>
  <c r="D335" i="2"/>
  <c r="C335" i="2"/>
  <c r="E334" i="2"/>
  <c r="D334" i="2"/>
  <c r="C334" i="2"/>
  <c r="E333" i="2"/>
  <c r="D333" i="2"/>
  <c r="C333" i="2"/>
  <c r="E332" i="2"/>
  <c r="D332" i="2"/>
  <c r="C332" i="2"/>
  <c r="E331" i="2"/>
  <c r="D331" i="2"/>
  <c r="C331" i="2"/>
  <c r="E330" i="2"/>
  <c r="D330" i="2"/>
  <c r="C330" i="2"/>
  <c r="E329" i="2"/>
  <c r="D329" i="2"/>
  <c r="C329" i="2"/>
  <c r="E328" i="2"/>
  <c r="D328" i="2"/>
  <c r="C328" i="2"/>
  <c r="E327" i="2"/>
  <c r="D327" i="2"/>
  <c r="C327" i="2"/>
  <c r="E326" i="2"/>
  <c r="D326" i="2"/>
  <c r="C326" i="2"/>
  <c r="E325" i="2"/>
  <c r="D325" i="2"/>
  <c r="C325" i="2"/>
  <c r="E324" i="2"/>
  <c r="D324" i="2"/>
  <c r="C324" i="2"/>
  <c r="E323" i="2"/>
  <c r="D323" i="2"/>
  <c r="C323" i="2"/>
  <c r="E322" i="2"/>
  <c r="D322" i="2"/>
  <c r="C322" i="2"/>
  <c r="E321" i="2"/>
  <c r="D321" i="2"/>
  <c r="C321" i="2"/>
  <c r="E320" i="2"/>
  <c r="D320" i="2"/>
  <c r="C320" i="2"/>
  <c r="E319" i="2"/>
  <c r="D319" i="2"/>
  <c r="C319" i="2"/>
  <c r="E318" i="2"/>
  <c r="D318" i="2"/>
  <c r="C318" i="2"/>
  <c r="E317" i="2"/>
  <c r="D317" i="2"/>
  <c r="C317" i="2"/>
  <c r="E316" i="2"/>
  <c r="D316" i="2"/>
  <c r="C316" i="2"/>
  <c r="E315" i="2"/>
  <c r="D315" i="2"/>
  <c r="C315" i="2"/>
  <c r="E314" i="2"/>
  <c r="D314" i="2"/>
  <c r="C314" i="2"/>
  <c r="E313" i="2"/>
  <c r="D313" i="2"/>
  <c r="C313" i="2"/>
  <c r="E312" i="2"/>
  <c r="D312" i="2"/>
  <c r="C312" i="2"/>
  <c r="E311" i="2"/>
  <c r="D311" i="2"/>
  <c r="C311" i="2"/>
  <c r="E310" i="2"/>
  <c r="D310" i="2"/>
  <c r="C310" i="2"/>
  <c r="E309" i="2"/>
  <c r="D309" i="2"/>
  <c r="C309" i="2"/>
  <c r="E308" i="2"/>
  <c r="D308" i="2"/>
  <c r="C308" i="2"/>
  <c r="E307" i="2"/>
  <c r="D307" i="2"/>
  <c r="C307" i="2"/>
  <c r="E306" i="2"/>
  <c r="D306" i="2"/>
  <c r="C306" i="2"/>
  <c r="E305" i="2"/>
  <c r="D305" i="2"/>
  <c r="C305" i="2"/>
  <c r="E304" i="2"/>
  <c r="D304" i="2"/>
  <c r="C304" i="2"/>
  <c r="E303" i="2"/>
  <c r="D303" i="2"/>
  <c r="C303" i="2"/>
  <c r="E302" i="2"/>
  <c r="D302" i="2"/>
  <c r="C302" i="2"/>
  <c r="E301" i="2"/>
  <c r="D301" i="2"/>
  <c r="C301" i="2"/>
  <c r="E300" i="2"/>
  <c r="D300" i="2"/>
  <c r="C300" i="2"/>
  <c r="E299" i="2"/>
  <c r="D299" i="2"/>
  <c r="C299" i="2"/>
  <c r="E298" i="2"/>
  <c r="D298" i="2"/>
  <c r="C298" i="2"/>
  <c r="E297" i="2"/>
  <c r="D297" i="2"/>
  <c r="C297" i="2"/>
  <c r="E296" i="2"/>
  <c r="D296" i="2"/>
  <c r="C296" i="2"/>
  <c r="E295" i="2"/>
  <c r="D295" i="2"/>
  <c r="C295" i="2"/>
  <c r="E294" i="2"/>
  <c r="D294" i="2"/>
  <c r="C294" i="2"/>
  <c r="E293" i="2"/>
  <c r="D293" i="2"/>
  <c r="C293" i="2"/>
  <c r="E292" i="2"/>
  <c r="D292" i="2"/>
  <c r="C292" i="2"/>
  <c r="E291" i="2"/>
  <c r="D291" i="2"/>
  <c r="C291" i="2"/>
  <c r="E290" i="2"/>
  <c r="D290" i="2"/>
  <c r="C290" i="2"/>
  <c r="E289" i="2"/>
  <c r="D289" i="2"/>
  <c r="C289" i="2"/>
  <c r="E288" i="2"/>
  <c r="D288" i="2"/>
  <c r="C288" i="2"/>
  <c r="E287" i="2"/>
  <c r="D287" i="2"/>
  <c r="C287" i="2"/>
  <c r="E286" i="2"/>
  <c r="D286" i="2"/>
  <c r="C286" i="2"/>
  <c r="E285" i="2"/>
  <c r="D285" i="2"/>
  <c r="C285" i="2"/>
  <c r="E284" i="2"/>
  <c r="D284" i="2"/>
  <c r="C284" i="2"/>
  <c r="E283" i="2"/>
  <c r="D283" i="2"/>
  <c r="C283" i="2"/>
  <c r="E282" i="2"/>
  <c r="D282" i="2"/>
  <c r="C282" i="2"/>
  <c r="E281" i="2"/>
  <c r="D281" i="2"/>
  <c r="C281" i="2"/>
  <c r="E280" i="2"/>
  <c r="D280" i="2"/>
  <c r="C280" i="2"/>
  <c r="E279" i="2"/>
  <c r="D279" i="2"/>
  <c r="C279" i="2"/>
  <c r="E278" i="2"/>
  <c r="D278" i="2"/>
  <c r="C278" i="2"/>
  <c r="E277" i="2"/>
  <c r="D277" i="2"/>
  <c r="C277" i="2"/>
  <c r="E276" i="2"/>
  <c r="D276" i="2"/>
  <c r="C276" i="2"/>
  <c r="E275" i="2"/>
  <c r="D275" i="2"/>
  <c r="C275" i="2"/>
  <c r="E274" i="2"/>
  <c r="D274" i="2"/>
  <c r="C274" i="2"/>
  <c r="E273" i="2"/>
  <c r="D273" i="2"/>
  <c r="C273" i="2"/>
  <c r="E272" i="2"/>
  <c r="D272" i="2"/>
  <c r="C272" i="2"/>
  <c r="E271" i="2"/>
  <c r="D271" i="2"/>
  <c r="C271" i="2"/>
  <c r="E270" i="2"/>
  <c r="D270" i="2"/>
  <c r="C270" i="2"/>
  <c r="E269" i="2"/>
  <c r="D269" i="2"/>
  <c r="C269" i="2"/>
  <c r="E268" i="2"/>
  <c r="D268" i="2"/>
  <c r="C268" i="2"/>
  <c r="E267" i="2"/>
  <c r="D267" i="2"/>
  <c r="C267" i="2"/>
  <c r="E266" i="2"/>
  <c r="D266" i="2"/>
  <c r="C266" i="2"/>
  <c r="E265" i="2"/>
  <c r="D265" i="2"/>
  <c r="C265" i="2"/>
  <c r="E264" i="2"/>
  <c r="D264" i="2"/>
  <c r="C264" i="2"/>
  <c r="E263" i="2"/>
  <c r="D263" i="2"/>
  <c r="C263" i="2"/>
  <c r="E262" i="2"/>
  <c r="D262" i="2"/>
  <c r="C262" i="2"/>
  <c r="E261" i="2"/>
  <c r="D261" i="2"/>
  <c r="C261" i="2"/>
  <c r="E260" i="2"/>
  <c r="D260" i="2"/>
  <c r="C260" i="2"/>
  <c r="E259" i="2"/>
  <c r="D259" i="2"/>
  <c r="C259" i="2"/>
  <c r="E258" i="2"/>
  <c r="D258" i="2"/>
  <c r="C258" i="2"/>
  <c r="E257" i="2"/>
  <c r="D257" i="2"/>
  <c r="C257" i="2"/>
  <c r="E256" i="2"/>
  <c r="D256" i="2"/>
  <c r="C256" i="2"/>
  <c r="E255" i="2"/>
  <c r="D255" i="2"/>
  <c r="C255" i="2"/>
  <c r="E254" i="2"/>
  <c r="D254" i="2"/>
  <c r="C254" i="2"/>
  <c r="E253" i="2"/>
  <c r="D253" i="2"/>
  <c r="C253" i="2"/>
  <c r="E252" i="2"/>
  <c r="D252" i="2"/>
  <c r="C252" i="2"/>
  <c r="E251" i="2"/>
  <c r="D251" i="2"/>
  <c r="C251" i="2"/>
  <c r="E250" i="2"/>
  <c r="D250" i="2"/>
  <c r="C250" i="2"/>
  <c r="E249" i="2"/>
  <c r="D249" i="2"/>
  <c r="C249" i="2"/>
  <c r="E248" i="2"/>
  <c r="D248" i="2"/>
  <c r="C248" i="2"/>
  <c r="E247" i="2"/>
  <c r="D247" i="2"/>
  <c r="C247" i="2"/>
  <c r="E246" i="2"/>
  <c r="D246" i="2"/>
  <c r="C246" i="2"/>
  <c r="E245" i="2"/>
  <c r="D245" i="2"/>
  <c r="C245" i="2"/>
  <c r="E244" i="2"/>
  <c r="D244" i="2"/>
  <c r="C244" i="2"/>
  <c r="E243" i="2"/>
  <c r="D243" i="2"/>
  <c r="C243" i="2"/>
  <c r="E242" i="2"/>
  <c r="D242" i="2"/>
  <c r="C242" i="2"/>
  <c r="E241" i="2"/>
  <c r="D241" i="2"/>
  <c r="C241" i="2"/>
  <c r="E240" i="2"/>
  <c r="D240" i="2"/>
  <c r="C240" i="2"/>
  <c r="E239" i="2"/>
  <c r="D239" i="2"/>
  <c r="C239" i="2"/>
  <c r="E238" i="2"/>
  <c r="D238" i="2"/>
  <c r="C238" i="2"/>
  <c r="E237" i="2"/>
  <c r="D237" i="2"/>
  <c r="C237" i="2"/>
  <c r="E236" i="2"/>
  <c r="D236" i="2"/>
  <c r="C236" i="2"/>
  <c r="E235" i="2"/>
  <c r="D235" i="2"/>
  <c r="C235" i="2"/>
  <c r="E234" i="2"/>
  <c r="D234" i="2"/>
  <c r="C234" i="2"/>
  <c r="E233" i="2"/>
  <c r="D233" i="2"/>
  <c r="C233" i="2"/>
  <c r="E232" i="2"/>
  <c r="D232" i="2"/>
  <c r="C232" i="2"/>
  <c r="E231" i="2"/>
  <c r="D231" i="2"/>
  <c r="C231" i="2"/>
  <c r="E230" i="2"/>
  <c r="D230" i="2"/>
  <c r="C230" i="2"/>
  <c r="E229" i="2"/>
  <c r="D229" i="2"/>
  <c r="C229" i="2"/>
  <c r="E228" i="2"/>
  <c r="D228" i="2"/>
  <c r="C228" i="2"/>
  <c r="E227" i="2"/>
  <c r="D227" i="2"/>
  <c r="C227" i="2"/>
  <c r="E226" i="2"/>
  <c r="D226" i="2"/>
  <c r="C226" i="2"/>
  <c r="E225" i="2"/>
  <c r="D225" i="2"/>
  <c r="C225" i="2"/>
  <c r="E224" i="2"/>
  <c r="D224" i="2"/>
  <c r="C224" i="2"/>
  <c r="E223" i="2"/>
  <c r="D223" i="2"/>
  <c r="C223" i="2"/>
  <c r="E222" i="2"/>
  <c r="D222" i="2"/>
  <c r="C222" i="2"/>
  <c r="E221" i="2"/>
  <c r="D221" i="2"/>
  <c r="C221" i="2"/>
  <c r="E220" i="2"/>
  <c r="D220" i="2"/>
  <c r="C220" i="2"/>
  <c r="E219" i="2"/>
  <c r="D219" i="2"/>
  <c r="C219" i="2"/>
  <c r="E218" i="2"/>
  <c r="D218" i="2"/>
  <c r="C218" i="2"/>
  <c r="D217" i="2"/>
  <c r="C217" i="2"/>
  <c r="E217" i="2" s="1"/>
  <c r="E216" i="2"/>
  <c r="D216" i="2"/>
  <c r="C216" i="2"/>
  <c r="D215" i="2"/>
  <c r="C215" i="2"/>
  <c r="E215" i="2" s="1"/>
  <c r="B215" i="2"/>
  <c r="B216" i="2" s="1"/>
  <c r="B217" i="2" s="1"/>
  <c r="B218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E214" i="2"/>
  <c r="D214" i="2"/>
  <c r="C214" i="2"/>
  <c r="D213" i="2"/>
  <c r="C213" i="2"/>
  <c r="E213" i="2" s="1"/>
  <c r="D212" i="2"/>
  <c r="C212" i="2"/>
  <c r="E212" i="2" s="1"/>
  <c r="E211" i="2"/>
  <c r="I11" i="2" s="1"/>
  <c r="D211" i="2"/>
  <c r="C211" i="2"/>
  <c r="D210" i="2"/>
  <c r="C210" i="2"/>
  <c r="E210" i="2" s="1"/>
  <c r="D209" i="2"/>
  <c r="C209" i="2"/>
  <c r="E209" i="2" s="1"/>
  <c r="E208" i="2"/>
  <c r="D208" i="2"/>
  <c r="C208" i="2"/>
  <c r="E207" i="2"/>
  <c r="I16" i="2" s="1"/>
  <c r="D207" i="2"/>
  <c r="C207" i="2"/>
  <c r="E206" i="2"/>
  <c r="L19" i="2" s="1"/>
  <c r="D206" i="2"/>
  <c r="C206" i="2"/>
  <c r="D205" i="2"/>
  <c r="C205" i="2"/>
  <c r="E205" i="2" s="1"/>
  <c r="I24" i="2"/>
  <c r="K17" i="2"/>
  <c r="K8" i="2"/>
  <c r="A1" i="2"/>
  <c r="H7" i="2" l="1"/>
  <c r="L7" i="2"/>
  <c r="M16" i="2"/>
  <c r="J8" i="2"/>
  <c r="L11" i="2"/>
  <c r="H17" i="2"/>
  <c r="K18" i="2"/>
  <c r="J11" i="2"/>
  <c r="L8" i="2"/>
  <c r="J19" i="2"/>
  <c r="H18" i="2"/>
  <c r="L16" i="2"/>
  <c r="J15" i="2"/>
  <c r="M10" i="2"/>
  <c r="K9" i="2"/>
  <c r="I8" i="2"/>
  <c r="H8" i="2"/>
  <c r="I19" i="2"/>
  <c r="M17" i="2"/>
  <c r="K16" i="2"/>
  <c r="I15" i="2"/>
  <c r="L10" i="2"/>
  <c r="J9" i="2"/>
  <c r="M7" i="2"/>
  <c r="H19" i="2"/>
  <c r="L17" i="2"/>
  <c r="J16" i="2"/>
  <c r="H15" i="2"/>
  <c r="M11" i="2"/>
  <c r="K10" i="2"/>
  <c r="I9" i="2"/>
  <c r="L18" i="2"/>
  <c r="J17" i="2"/>
  <c r="H16" i="2"/>
  <c r="K11" i="2"/>
  <c r="I10" i="2"/>
  <c r="M8" i="2"/>
  <c r="K7" i="2"/>
  <c r="M19" i="2"/>
  <c r="I17" i="2"/>
  <c r="M15" i="2"/>
  <c r="H10" i="2"/>
  <c r="J7" i="2"/>
  <c r="H9" i="2"/>
  <c r="I18" i="2"/>
  <c r="L9" i="2"/>
  <c r="J18" i="2"/>
  <c r="M9" i="2"/>
  <c r="K15" i="2"/>
  <c r="M18" i="2"/>
  <c r="L15" i="2"/>
  <c r="L13" i="2" s="1"/>
  <c r="J10" i="2"/>
  <c r="K19" i="2"/>
  <c r="I7" i="2"/>
  <c r="H11" i="2"/>
  <c r="B1719" i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I24" i="1"/>
  <c r="M19" i="1"/>
  <c r="L19" i="1"/>
  <c r="K19" i="1"/>
  <c r="J19" i="1"/>
  <c r="I19" i="1"/>
  <c r="H19" i="1"/>
  <c r="M18" i="1"/>
  <c r="L18" i="1"/>
  <c r="K18" i="1"/>
  <c r="J18" i="1"/>
  <c r="I18" i="1"/>
  <c r="H18" i="1"/>
  <c r="M17" i="1"/>
  <c r="L17" i="1"/>
  <c r="L13" i="1" s="1"/>
  <c r="K17" i="1"/>
  <c r="K13" i="1" s="1"/>
  <c r="J17" i="1"/>
  <c r="I17" i="1"/>
  <c r="H17" i="1"/>
  <c r="M16" i="1"/>
  <c r="L16" i="1"/>
  <c r="K16" i="1"/>
  <c r="J16" i="1"/>
  <c r="I16" i="1"/>
  <c r="H16" i="1"/>
  <c r="M15" i="1"/>
  <c r="M13" i="1" s="1"/>
  <c r="L15" i="1"/>
  <c r="K15" i="1"/>
  <c r="J15" i="1"/>
  <c r="J13" i="1" s="1"/>
  <c r="I15" i="1"/>
  <c r="I13" i="1" s="1"/>
  <c r="H15" i="1"/>
  <c r="H13" i="1" s="1"/>
  <c r="M11" i="1"/>
  <c r="L11" i="1"/>
  <c r="K11" i="1"/>
  <c r="J11" i="1"/>
  <c r="I11" i="1"/>
  <c r="H11" i="1"/>
  <c r="M10" i="1"/>
  <c r="L10" i="1"/>
  <c r="K10" i="1"/>
  <c r="J10" i="1"/>
  <c r="I10" i="1"/>
  <c r="H10" i="1"/>
  <c r="M9" i="1"/>
  <c r="L9" i="1"/>
  <c r="K9" i="1"/>
  <c r="J9" i="1"/>
  <c r="I9" i="1"/>
  <c r="H9" i="1"/>
  <c r="M8" i="1"/>
  <c r="L8" i="1"/>
  <c r="K8" i="1"/>
  <c r="J8" i="1"/>
  <c r="I8" i="1"/>
  <c r="H8" i="1"/>
  <c r="M7" i="1"/>
  <c r="M5" i="1" s="1"/>
  <c r="L7" i="1"/>
  <c r="L5" i="1" s="1"/>
  <c r="K7" i="1"/>
  <c r="J7" i="1"/>
  <c r="J5" i="1" s="1"/>
  <c r="I7" i="1"/>
  <c r="I5" i="1" s="1"/>
  <c r="H7" i="1"/>
  <c r="H5" i="1" s="1"/>
  <c r="K5" i="1"/>
  <c r="A1" i="1"/>
  <c r="K13" i="2" l="1"/>
  <c r="M5" i="2"/>
  <c r="I13" i="2"/>
  <c r="J13" i="2"/>
  <c r="H13" i="2"/>
  <c r="G14" i="2" s="1"/>
  <c r="I5" i="2"/>
  <c r="J5" i="2"/>
  <c r="K5" i="2"/>
  <c r="L5" i="2"/>
  <c r="M13" i="2"/>
  <c r="H5" i="2"/>
  <c r="G6" i="1"/>
  <c r="G14" i="1"/>
  <c r="G6" i="2" l="1"/>
  <c r="I1181" i="2" l="1"/>
</calcChain>
</file>

<file path=xl/sharedStrings.xml><?xml version="1.0" encoding="utf-8"?>
<sst xmlns="http://schemas.openxmlformats.org/spreadsheetml/2006/main" count="80" uniqueCount="45">
  <si>
    <t xml:space="preserve">PETTY CASH BOOK </t>
  </si>
  <si>
    <t>JAN</t>
  </si>
  <si>
    <t>FEB</t>
  </si>
  <si>
    <t>MAR</t>
  </si>
  <si>
    <t>APR</t>
  </si>
  <si>
    <t>MAY</t>
  </si>
  <si>
    <t>JUN</t>
  </si>
  <si>
    <t>WEEK 1 TOTAL</t>
  </si>
  <si>
    <t>WEEK 2 TOTAL</t>
  </si>
  <si>
    <t>WEEK 3 TOTAL</t>
  </si>
  <si>
    <t>WEEK 4 TOTAL</t>
  </si>
  <si>
    <t>WEEK 5 TOTAL</t>
  </si>
  <si>
    <t>JUL</t>
  </si>
  <si>
    <t>AUG</t>
  </si>
  <si>
    <t>SEP</t>
  </si>
  <si>
    <t>OCT</t>
  </si>
  <si>
    <t>NOV</t>
  </si>
  <si>
    <t>DEC</t>
  </si>
  <si>
    <t>PETTY CASH FUNDING</t>
  </si>
  <si>
    <t>ANNUAL EXPENSES</t>
  </si>
  <si>
    <t>TOTAL SPENT</t>
  </si>
  <si>
    <t>MONTH UNDER REVIEW</t>
  </si>
  <si>
    <t>VOUCHER</t>
  </si>
  <si>
    <t>SPENT</t>
  </si>
  <si>
    <t>Category</t>
  </si>
  <si>
    <t>COST CENTRE(This is Optional)</t>
  </si>
  <si>
    <t>SUB COST CENTRE</t>
  </si>
  <si>
    <t>Bank Debited</t>
  </si>
  <si>
    <t xml:space="preserve">              </t>
  </si>
  <si>
    <t>DAY</t>
  </si>
  <si>
    <t>MONTH</t>
  </si>
  <si>
    <t>WEEK</t>
  </si>
  <si>
    <t>CODE</t>
  </si>
  <si>
    <t>TRANSACTION DETAILS</t>
  </si>
  <si>
    <t>ANNUAL INCOME</t>
  </si>
  <si>
    <t>TOTAL INCOME</t>
  </si>
  <si>
    <t>INCOME</t>
  </si>
  <si>
    <t>STAMP DUTY</t>
  </si>
  <si>
    <t>WHT</t>
  </si>
  <si>
    <t>VAT</t>
  </si>
  <si>
    <t>GROSS AMOUNT</t>
  </si>
  <si>
    <t>INCOME CENTRE</t>
  </si>
  <si>
    <t>PROJECT TYPE</t>
  </si>
  <si>
    <t>S/NO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</si>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</sst>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_-* #,##0.00_-;\-* #,##0.00_-;_-* &quot;-&quot;??_-;_-@_-"/>
    <numFmt numFmtId="166" formatCode="_-&quot;$&quot;* #,##0.00_-;\-&quot;$&quot;* #,##0.00_-;_-&quot;$&quot;* &quot;-&quot;??_-;_-@_-"/>
    <numFmt numFmtId="167" formatCode="[$-409]d\-mmm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145481734672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8">
    <xf numFmtId="0" fontId="0" fillId="0" borderId="0" xfId="0"/>
    <xf numFmtId="0" fontId="2" fillId="2" borderId="0" xfId="0" applyFont="1" applyFill="1" applyAlignment="1" applyProtection="1">
      <alignment horizontal="left"/>
      <protection locked="0"/>
    </xf>
    <xf numFmtId="0" fontId="3" fillId="2" borderId="0" xfId="0" applyFont="1" applyFill="1" applyProtection="1">
      <protection locked="0"/>
    </xf>
    <xf numFmtId="164" fontId="3" fillId="2" borderId="0" xfId="0" applyNumberFormat="1" applyFont="1" applyFill="1" applyAlignment="1" applyProtection="1">
      <protection locked="0"/>
    </xf>
    <xf numFmtId="1" fontId="3" fillId="2" borderId="0" xfId="0" applyNumberFormat="1" applyFont="1" applyFill="1" applyAlignment="1" applyProtection="1">
      <alignment horizontal="right"/>
      <protection locked="0"/>
    </xf>
    <xf numFmtId="1" fontId="2" fillId="2" borderId="0" xfId="0" applyNumberFormat="1" applyFont="1" applyFill="1" applyProtection="1">
      <protection locked="0"/>
    </xf>
    <xf numFmtId="43" fontId="3" fillId="2" borderId="0" xfId="1" applyFont="1" applyFill="1" applyAlignment="1" applyProtection="1">
      <alignment horizontal="right"/>
      <protection locked="0"/>
    </xf>
    <xf numFmtId="0" fontId="3" fillId="2" borderId="0" xfId="0" applyFont="1" applyFill="1" applyAlignment="1" applyProtection="1">
      <alignment horizontal="left"/>
      <protection locked="0"/>
    </xf>
    <xf numFmtId="165" fontId="3" fillId="2" borderId="0" xfId="0" applyNumberFormat="1" applyFont="1" applyFill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1" fontId="2" fillId="2" borderId="0" xfId="0" applyNumberFormat="1" applyFont="1" applyFill="1" applyAlignment="1" applyProtection="1">
      <alignment horizontal="left"/>
      <protection locked="0"/>
    </xf>
    <xf numFmtId="1" fontId="3" fillId="2" borderId="0" xfId="0" applyNumberFormat="1" applyFont="1" applyFill="1" applyAlignment="1" applyProtection="1">
      <alignment horizontal="center"/>
      <protection locked="0"/>
    </xf>
    <xf numFmtId="165" fontId="3" fillId="0" borderId="0" xfId="0" applyNumberFormat="1" applyFont="1" applyProtection="1">
      <protection locked="0"/>
    </xf>
    <xf numFmtId="0" fontId="3" fillId="2" borderId="0" xfId="0" applyFont="1" applyFill="1" applyAlignment="1" applyProtection="1">
      <alignment horizontal="center"/>
      <protection locked="0"/>
    </xf>
    <xf numFmtId="43" fontId="4" fillId="3" borderId="0" xfId="0" applyNumberFormat="1" applyFont="1" applyFill="1" applyProtection="1">
      <protection locked="0"/>
    </xf>
    <xf numFmtId="43" fontId="5" fillId="3" borderId="0" xfId="1" applyFont="1" applyFill="1" applyAlignment="1" applyProtection="1">
      <alignment horizontal="right"/>
      <protection locked="0"/>
    </xf>
    <xf numFmtId="43" fontId="5" fillId="3" borderId="0" xfId="0" applyNumberFormat="1" applyFont="1" applyFill="1" applyAlignment="1" applyProtection="1">
      <alignment horizontal="left"/>
      <protection locked="0"/>
    </xf>
    <xf numFmtId="43" fontId="5" fillId="3" borderId="0" xfId="0" applyNumberFormat="1" applyFont="1" applyFill="1" applyProtection="1">
      <protection locked="0"/>
    </xf>
    <xf numFmtId="43" fontId="4" fillId="3" borderId="0" xfId="0" applyNumberFormat="1" applyFont="1" applyFill="1" applyAlignment="1" applyProtection="1">
      <alignment horizontal="left"/>
      <protection locked="0"/>
    </xf>
    <xf numFmtId="43" fontId="5" fillId="3" borderId="0" xfId="0" applyNumberFormat="1" applyFont="1" applyFill="1" applyAlignment="1" applyProtection="1">
      <alignment horizontal="center"/>
      <protection locked="0"/>
    </xf>
    <xf numFmtId="165" fontId="4" fillId="3" borderId="0" xfId="0" applyNumberFormat="1" applyFont="1" applyFill="1" applyProtection="1">
      <protection locked="0"/>
    </xf>
    <xf numFmtId="0" fontId="3" fillId="4" borderId="1" xfId="0" applyFont="1" applyFill="1" applyBorder="1" applyAlignment="1">
      <alignment horizontal="right"/>
    </xf>
    <xf numFmtId="43" fontId="3" fillId="4" borderId="2" xfId="1" applyFont="1" applyFill="1" applyBorder="1" applyAlignment="1">
      <alignment horizontal="right"/>
    </xf>
    <xf numFmtId="0" fontId="3" fillId="4" borderId="2" xfId="0" applyFont="1" applyFill="1" applyBorder="1" applyAlignment="1">
      <alignment horizontal="right"/>
    </xf>
    <xf numFmtId="1" fontId="6" fillId="5" borderId="2" xfId="0" applyNumberFormat="1" applyFont="1" applyFill="1" applyBorder="1" applyAlignment="1" applyProtection="1">
      <alignment horizontal="right"/>
      <protection locked="0"/>
    </xf>
    <xf numFmtId="43" fontId="3" fillId="6" borderId="1" xfId="1" applyNumberFormat="1" applyFont="1" applyFill="1" applyBorder="1" applyAlignment="1">
      <alignment horizontal="right"/>
    </xf>
    <xf numFmtId="43" fontId="3" fillId="6" borderId="2" xfId="1" applyFont="1" applyFill="1" applyBorder="1" applyAlignment="1">
      <alignment horizontal="right"/>
    </xf>
    <xf numFmtId="43" fontId="3" fillId="6" borderId="2" xfId="1" applyNumberFormat="1" applyFont="1" applyFill="1" applyBorder="1" applyAlignment="1">
      <alignment horizontal="right"/>
    </xf>
    <xf numFmtId="0" fontId="2" fillId="2" borderId="0" xfId="0" applyFont="1" applyFill="1" applyAlignment="1" applyProtection="1">
      <alignment horizontal="center"/>
      <protection locked="0"/>
    </xf>
    <xf numFmtId="164" fontId="2" fillId="2" borderId="0" xfId="0" applyNumberFormat="1" applyFont="1" applyFill="1" applyAlignment="1" applyProtection="1">
      <protection locked="0"/>
    </xf>
    <xf numFmtId="43" fontId="3" fillId="6" borderId="1" xfId="1" applyFont="1" applyFill="1" applyBorder="1" applyAlignment="1">
      <alignment horizontal="right"/>
    </xf>
    <xf numFmtId="14" fontId="3" fillId="2" borderId="0" xfId="0" applyNumberFormat="1" applyFont="1" applyFill="1" applyAlignment="1" applyProtection="1">
      <alignment horizontal="right"/>
      <protection locked="0"/>
    </xf>
    <xf numFmtId="14" fontId="3" fillId="2" borderId="0" xfId="0" applyNumberFormat="1" applyFont="1" applyFill="1" applyAlignment="1" applyProtection="1">
      <alignment horizontal="center"/>
      <protection locked="0"/>
    </xf>
    <xf numFmtId="43" fontId="5" fillId="3" borderId="0" xfId="0" applyNumberFormat="1" applyFont="1" applyFill="1" applyAlignment="1" applyProtection="1">
      <alignment horizontal="right"/>
      <protection locked="0"/>
    </xf>
    <xf numFmtId="1" fontId="3" fillId="2" borderId="0" xfId="0" applyNumberFormat="1" applyFont="1" applyFill="1" applyProtection="1">
      <protection locked="0"/>
    </xf>
    <xf numFmtId="0" fontId="2" fillId="2" borderId="0" xfId="0" applyFont="1" applyFill="1" applyProtection="1">
      <protection locked="0"/>
    </xf>
    <xf numFmtId="1" fontId="3" fillId="2" borderId="0" xfId="0" applyNumberFormat="1" applyFont="1" applyFill="1" applyAlignment="1" applyProtection="1">
      <alignment horizontal="left"/>
      <protection locked="0"/>
    </xf>
    <xf numFmtId="43" fontId="3" fillId="7" borderId="2" xfId="1" applyFont="1" applyFill="1" applyBorder="1" applyAlignment="1" applyProtection="1">
      <alignment horizontal="right"/>
      <protection locked="0"/>
    </xf>
    <xf numFmtId="0" fontId="3" fillId="7" borderId="2" xfId="0" applyFont="1" applyFill="1" applyBorder="1" applyAlignment="1" applyProtection="1">
      <alignment horizontal="right"/>
      <protection locked="0"/>
    </xf>
    <xf numFmtId="0" fontId="3" fillId="8" borderId="1" xfId="0" applyFont="1" applyFill="1" applyBorder="1" applyAlignment="1" applyProtection="1">
      <alignment horizontal="left"/>
      <protection locked="0"/>
    </xf>
    <xf numFmtId="0" fontId="3" fillId="8" borderId="3" xfId="0" applyFont="1" applyFill="1" applyBorder="1" applyAlignment="1" applyProtection="1">
      <alignment horizontal="center"/>
      <protection locked="0"/>
    </xf>
    <xf numFmtId="0" fontId="3" fillId="8" borderId="4" xfId="0" applyFont="1" applyFill="1" applyBorder="1" applyAlignment="1" applyProtection="1">
      <alignment horizontal="right"/>
      <protection locked="0"/>
    </xf>
    <xf numFmtId="164" fontId="3" fillId="8" borderId="4" xfId="0" applyNumberFormat="1" applyFont="1" applyFill="1" applyBorder="1" applyAlignment="1" applyProtection="1">
      <protection locked="0"/>
    </xf>
    <xf numFmtId="43" fontId="5" fillId="7" borderId="2" xfId="1" applyFont="1" applyFill="1" applyBorder="1" applyAlignment="1" applyProtection="1">
      <alignment horizontal="right"/>
    </xf>
    <xf numFmtId="43" fontId="4" fillId="7" borderId="2" xfId="1" applyNumberFormat="1" applyFont="1" applyFill="1" applyBorder="1" applyAlignment="1" applyProtection="1">
      <alignment horizontal="right"/>
    </xf>
    <xf numFmtId="1" fontId="3" fillId="9" borderId="5" xfId="0" applyNumberFormat="1" applyFont="1" applyFill="1" applyBorder="1" applyAlignment="1" applyProtection="1">
      <alignment horizontal="center"/>
      <protection locked="0"/>
    </xf>
    <xf numFmtId="1" fontId="3" fillId="9" borderId="5" xfId="0" applyNumberFormat="1" applyFont="1" applyFill="1" applyBorder="1" applyAlignment="1" applyProtection="1">
      <alignment horizontal="left"/>
      <protection locked="0"/>
    </xf>
    <xf numFmtId="164" fontId="3" fillId="9" borderId="5" xfId="0" applyNumberFormat="1" applyFont="1" applyFill="1" applyBorder="1" applyAlignment="1" applyProtection="1">
      <protection locked="0"/>
    </xf>
    <xf numFmtId="1" fontId="2" fillId="9" borderId="5" xfId="0" applyNumberFormat="1" applyFont="1" applyFill="1" applyBorder="1" applyAlignment="1" applyProtection="1">
      <alignment horizontal="right"/>
      <protection locked="0"/>
    </xf>
    <xf numFmtId="1" fontId="2" fillId="9" borderId="5" xfId="0" applyNumberFormat="1" applyFont="1" applyFill="1" applyBorder="1" applyProtection="1">
      <protection locked="0"/>
    </xf>
    <xf numFmtId="1" fontId="2" fillId="9" borderId="5" xfId="0" applyNumberFormat="1" applyFont="1" applyFill="1" applyBorder="1" applyAlignment="1" applyProtection="1">
      <alignment horizontal="center" wrapText="1"/>
      <protection locked="0"/>
    </xf>
    <xf numFmtId="0" fontId="2" fillId="9" borderId="9" xfId="0" applyFont="1" applyFill="1" applyBorder="1" applyAlignment="1" applyProtection="1">
      <alignment horizontal="center"/>
      <protection locked="0"/>
    </xf>
    <xf numFmtId="1" fontId="2" fillId="9" borderId="9" xfId="0" applyNumberFormat="1" applyFont="1" applyFill="1" applyBorder="1" applyAlignment="1" applyProtection="1">
      <alignment horizontal="center"/>
      <protection locked="0"/>
    </xf>
    <xf numFmtId="0" fontId="2" fillId="9" borderId="9" xfId="0" applyFont="1" applyFill="1" applyBorder="1" applyAlignment="1">
      <alignment horizontal="left"/>
    </xf>
    <xf numFmtId="164" fontId="2" fillId="9" borderId="10" xfId="0" applyNumberFormat="1" applyFont="1" applyFill="1" applyBorder="1" applyAlignment="1"/>
    <xf numFmtId="1" fontId="2" fillId="9" borderId="10" xfId="0" applyNumberFormat="1" applyFont="1" applyFill="1" applyBorder="1" applyAlignment="1">
      <alignment horizontal="right"/>
    </xf>
    <xf numFmtId="0" fontId="2" fillId="9" borderId="10" xfId="0" applyFont="1" applyFill="1" applyBorder="1" applyProtection="1">
      <protection locked="0"/>
    </xf>
    <xf numFmtId="1" fontId="2" fillId="9" borderId="9" xfId="0" applyNumberFormat="1" applyFont="1" applyFill="1" applyBorder="1" applyAlignment="1" applyProtection="1">
      <alignment horizontal="center" wrapText="1"/>
      <protection locked="0"/>
    </xf>
    <xf numFmtId="0" fontId="3" fillId="2" borderId="13" xfId="0" applyFont="1" applyFill="1" applyBorder="1" applyAlignment="1">
      <alignment horizontal="center"/>
    </xf>
    <xf numFmtId="1" fontId="3" fillId="11" borderId="13" xfId="0" applyNumberFormat="1" applyFont="1" applyFill="1" applyBorder="1" applyAlignment="1">
      <alignment horizontal="center"/>
    </xf>
    <xf numFmtId="0" fontId="3" fillId="11" borderId="13" xfId="0" applyFont="1" applyFill="1" applyBorder="1" applyAlignment="1">
      <alignment horizontal="center"/>
    </xf>
    <xf numFmtId="164" fontId="1" fillId="0" borderId="0" xfId="0" applyNumberFormat="1" applyFont="1" applyAlignment="1"/>
    <xf numFmtId="0" fontId="0" fillId="0" borderId="2" xfId="0" applyBorder="1"/>
    <xf numFmtId="4" fontId="0" fillId="0" borderId="2" xfId="0" applyNumberFormat="1" applyBorder="1" applyAlignment="1">
      <alignment horizontal="right"/>
    </xf>
    <xf numFmtId="43" fontId="3" fillId="0" borderId="2" xfId="1" applyFont="1" applyFill="1" applyBorder="1" applyAlignment="1" applyProtection="1">
      <alignment horizontal="left"/>
      <protection locked="0"/>
    </xf>
    <xf numFmtId="4" fontId="3" fillId="0" borderId="0" xfId="0" applyNumberFormat="1" applyFont="1" applyAlignment="1" applyProtection="1">
      <alignment horizontal="left"/>
      <protection locked="0"/>
    </xf>
    <xf numFmtId="43" fontId="2" fillId="12" borderId="14" xfId="1" applyFont="1" applyFill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2" xfId="0" applyFont="1" applyBorder="1" applyProtection="1">
      <protection locked="0"/>
    </xf>
    <xf numFmtId="0" fontId="0" fillId="0" borderId="2" xfId="0" applyNumberFormat="1" applyBorder="1" applyAlignment="1">
      <alignment horizontal="right"/>
    </xf>
    <xf numFmtId="4" fontId="7" fillId="0" borderId="0" xfId="0" applyNumberFormat="1" applyFont="1" applyAlignment="1" applyProtection="1">
      <alignment horizontal="left"/>
      <protection locked="0"/>
    </xf>
    <xf numFmtId="4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  <xf numFmtId="43" fontId="3" fillId="13" borderId="2" xfId="1" applyFont="1" applyFill="1" applyBorder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0" fontId="2" fillId="12" borderId="14" xfId="0" applyFont="1" applyFill="1" applyBorder="1" applyAlignment="1" applyProtection="1">
      <alignment horizontal="left"/>
      <protection locked="0"/>
    </xf>
    <xf numFmtId="3" fontId="3" fillId="0" borderId="2" xfId="0" applyNumberFormat="1" applyFont="1" applyBorder="1" applyAlignment="1" applyProtection="1">
      <alignment horizontal="right"/>
      <protection locked="0"/>
    </xf>
    <xf numFmtId="0" fontId="3" fillId="2" borderId="2" xfId="0" applyFont="1" applyFill="1" applyBorder="1" applyProtection="1">
      <protection locked="0"/>
    </xf>
    <xf numFmtId="0" fontId="0" fillId="0" borderId="0" xfId="0" applyAlignment="1">
      <alignment horizontal="right"/>
    </xf>
    <xf numFmtId="0" fontId="3" fillId="0" borderId="0" xfId="0" applyFont="1" applyAlignment="1" applyProtection="1">
      <alignment horizontal="center"/>
      <protection locked="0"/>
    </xf>
    <xf numFmtId="43" fontId="3" fillId="13" borderId="14" xfId="1" applyFont="1" applyFill="1" applyBorder="1" applyAlignment="1" applyProtection="1">
      <alignment horizontal="center"/>
      <protection locked="0"/>
    </xf>
    <xf numFmtId="0" fontId="3" fillId="13" borderId="0" xfId="0" applyFont="1" applyFill="1" applyProtection="1">
      <protection locked="0"/>
    </xf>
    <xf numFmtId="4" fontId="3" fillId="13" borderId="0" xfId="0" applyNumberFormat="1" applyFont="1" applyFill="1" applyAlignment="1" applyProtection="1">
      <alignment horizontal="left"/>
      <protection locked="0"/>
    </xf>
    <xf numFmtId="0" fontId="3" fillId="13" borderId="2" xfId="0" applyFont="1" applyFill="1" applyBorder="1" applyAlignment="1" applyProtection="1">
      <alignment horizontal="center"/>
      <protection locked="0"/>
    </xf>
    <xf numFmtId="0" fontId="3" fillId="13" borderId="2" xfId="0" applyFont="1" applyFill="1" applyBorder="1" applyProtection="1">
      <protection locked="0"/>
    </xf>
    <xf numFmtId="0" fontId="3" fillId="13" borderId="0" xfId="0" applyFont="1" applyFill="1" applyAlignment="1" applyProtection="1">
      <alignment horizontal="center"/>
      <protection locked="0"/>
    </xf>
    <xf numFmtId="43" fontId="2" fillId="12" borderId="1" xfId="1" applyFont="1" applyFill="1" applyBorder="1" applyAlignment="1" applyProtection="1">
      <alignment horizontal="left"/>
      <protection locked="0"/>
    </xf>
    <xf numFmtId="0" fontId="3" fillId="14" borderId="0" xfId="0" applyFont="1" applyFill="1" applyProtection="1">
      <protection locked="0"/>
    </xf>
    <xf numFmtId="0" fontId="2" fillId="12" borderId="1" xfId="0" applyFont="1" applyFill="1" applyBorder="1" applyAlignment="1" applyProtection="1">
      <alignment horizontal="left"/>
      <protection locked="0"/>
    </xf>
    <xf numFmtId="0" fontId="3" fillId="14" borderId="2" xfId="0" applyFont="1" applyFill="1" applyBorder="1" applyProtection="1">
      <protection locked="0"/>
    </xf>
    <xf numFmtId="3" fontId="3" fillId="0" borderId="2" xfId="0" applyNumberFormat="1" applyFont="1" applyBorder="1" applyAlignment="1" applyProtection="1">
      <alignment horizontal="center"/>
      <protection locked="0"/>
    </xf>
    <xf numFmtId="4" fontId="3" fillId="0" borderId="2" xfId="1" applyNumberFormat="1" applyFont="1" applyFill="1" applyBorder="1" applyAlignment="1" applyProtection="1">
      <alignment horizontal="center"/>
      <protection locked="0"/>
    </xf>
    <xf numFmtId="164" fontId="1" fillId="13" borderId="0" xfId="0" applyNumberFormat="1" applyFont="1" applyFill="1" applyAlignment="1"/>
    <xf numFmtId="0" fontId="0" fillId="13" borderId="2" xfId="0" applyFill="1" applyBorder="1"/>
    <xf numFmtId="0" fontId="0" fillId="13" borderId="0" xfId="0" applyFill="1"/>
    <xf numFmtId="0" fontId="0" fillId="13" borderId="0" xfId="0" applyFill="1" applyAlignment="1">
      <alignment horizontal="right"/>
    </xf>
    <xf numFmtId="4" fontId="3" fillId="13" borderId="2" xfId="1" applyNumberFormat="1" applyFont="1" applyFill="1" applyBorder="1" applyAlignment="1" applyProtection="1">
      <alignment horizontal="center"/>
      <protection locked="0"/>
    </xf>
    <xf numFmtId="43" fontId="3" fillId="12" borderId="14" xfId="1" applyFont="1" applyFill="1" applyBorder="1" applyAlignment="1" applyProtection="1">
      <alignment horizontal="left"/>
      <protection locked="0"/>
    </xf>
    <xf numFmtId="43" fontId="2" fillId="12" borderId="2" xfId="1" applyFont="1" applyFill="1" applyBorder="1" applyAlignment="1" applyProtection="1">
      <alignment horizontal="left"/>
      <protection locked="0"/>
    </xf>
    <xf numFmtId="0" fontId="2" fillId="12" borderId="2" xfId="0" applyFont="1" applyFill="1" applyBorder="1" applyAlignment="1" applyProtection="1">
      <alignment horizontal="left"/>
      <protection locked="0"/>
    </xf>
    <xf numFmtId="43" fontId="6" fillId="12" borderId="2" xfId="1" applyFont="1" applyFill="1" applyBorder="1" applyAlignment="1" applyProtection="1">
      <alignment horizontal="left"/>
      <protection locked="0"/>
    </xf>
    <xf numFmtId="43" fontId="2" fillId="12" borderId="0" xfId="1" applyFont="1" applyFill="1" applyBorder="1" applyAlignment="1" applyProtection="1">
      <alignment horizontal="left"/>
      <protection locked="0"/>
    </xf>
    <xf numFmtId="43" fontId="3" fillId="12" borderId="2" xfId="1" applyFont="1" applyFill="1" applyBorder="1" applyAlignment="1" applyProtection="1">
      <alignment horizontal="left"/>
      <protection locked="0"/>
    </xf>
    <xf numFmtId="0" fontId="8" fillId="12" borderId="2" xfId="0" applyFont="1" applyFill="1" applyBorder="1" applyAlignment="1">
      <alignment horizontal="left" vertical="top"/>
    </xf>
    <xf numFmtId="0" fontId="8" fillId="12" borderId="2" xfId="0" applyFont="1" applyFill="1" applyBorder="1" applyAlignment="1">
      <alignment horizontal="left" vertical="center"/>
    </xf>
    <xf numFmtId="43" fontId="2" fillId="12" borderId="15" xfId="1" applyFont="1" applyFill="1" applyBorder="1" applyAlignment="1" applyProtection="1">
      <alignment horizontal="left"/>
      <protection locked="0"/>
    </xf>
    <xf numFmtId="4" fontId="3" fillId="0" borderId="2" xfId="0" applyNumberFormat="1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4" fontId="7" fillId="0" borderId="2" xfId="0" applyNumberFormat="1" applyFont="1" applyBorder="1" applyAlignment="1" applyProtection="1">
      <alignment horizontal="left"/>
      <protection locked="0"/>
    </xf>
    <xf numFmtId="4" fontId="3" fillId="0" borderId="2" xfId="1" applyNumberFormat="1" applyFont="1" applyBorder="1" applyAlignment="1" applyProtection="1">
      <alignment horizontal="center"/>
      <protection locked="0"/>
    </xf>
    <xf numFmtId="0" fontId="3" fillId="13" borderId="2" xfId="0" applyFont="1" applyFill="1" applyBorder="1" applyAlignment="1" applyProtection="1">
      <alignment horizontal="left"/>
      <protection locked="0"/>
    </xf>
    <xf numFmtId="16" fontId="2" fillId="12" borderId="2" xfId="0" applyNumberFormat="1" applyFont="1" applyFill="1" applyBorder="1" applyAlignment="1" applyProtection="1">
      <alignment horizontal="left"/>
      <protection locked="0"/>
    </xf>
    <xf numFmtId="43" fontId="3" fillId="0" borderId="2" xfId="1" applyFont="1" applyBorder="1" applyAlignment="1" applyProtection="1">
      <alignment horizontal="right"/>
      <protection locked="0"/>
    </xf>
    <xf numFmtId="0" fontId="9" fillId="12" borderId="2" xfId="0" applyFont="1" applyFill="1" applyBorder="1"/>
    <xf numFmtId="0" fontId="3" fillId="2" borderId="2" xfId="0" applyFont="1" applyFill="1" applyBorder="1" applyAlignment="1" applyProtection="1">
      <alignment horizontal="center"/>
      <protection locked="0"/>
    </xf>
    <xf numFmtId="4" fontId="3" fillId="13" borderId="2" xfId="0" applyNumberFormat="1" applyFont="1" applyFill="1" applyBorder="1" applyAlignment="1" applyProtection="1">
      <alignment horizontal="left"/>
      <protection locked="0"/>
    </xf>
    <xf numFmtId="0" fontId="10" fillId="2" borderId="0" xfId="0" applyFont="1" applyFill="1" applyProtection="1">
      <protection locked="0"/>
    </xf>
    <xf numFmtId="3" fontId="10" fillId="0" borderId="2" xfId="0" applyNumberFormat="1" applyFont="1" applyBorder="1" applyAlignment="1" applyProtection="1">
      <alignment horizontal="right"/>
      <protection locked="0"/>
    </xf>
    <xf numFmtId="0" fontId="10" fillId="0" borderId="2" xfId="0" applyFont="1" applyBorder="1" applyAlignment="1" applyProtection="1">
      <alignment horizontal="left"/>
      <protection locked="0"/>
    </xf>
    <xf numFmtId="0" fontId="11" fillId="12" borderId="2" xfId="0" applyFont="1" applyFill="1" applyBorder="1" applyAlignment="1" applyProtection="1">
      <alignment horizontal="left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166" fontId="3" fillId="0" borderId="2" xfId="0" applyNumberFormat="1" applyFont="1" applyBorder="1" applyAlignment="1" applyProtection="1">
      <alignment horizontal="left"/>
      <protection locked="0"/>
    </xf>
    <xf numFmtId="0" fontId="2" fillId="12" borderId="0" xfId="0" applyFont="1" applyFill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1" fontId="3" fillId="14" borderId="2" xfId="0" applyNumberFormat="1" applyFont="1" applyFill="1" applyBorder="1" applyAlignment="1">
      <alignment horizontal="center"/>
    </xf>
    <xf numFmtId="3" fontId="3" fillId="0" borderId="0" xfId="0" applyNumberFormat="1" applyFont="1" applyAlignment="1" applyProtection="1">
      <alignment horizontal="right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0" fontId="0" fillId="0" borderId="0" xfId="0" applyAlignment="1"/>
    <xf numFmtId="164" fontId="3" fillId="0" borderId="0" xfId="0" applyNumberFormat="1" applyFont="1" applyAlignment="1" applyProtection="1">
      <protection locked="0"/>
    </xf>
    <xf numFmtId="1" fontId="3" fillId="0" borderId="0" xfId="0" applyNumberFormat="1" applyFont="1" applyAlignment="1" applyProtection="1">
      <alignment horizontal="right"/>
      <protection locked="0"/>
    </xf>
    <xf numFmtId="1" fontId="2" fillId="0" borderId="0" xfId="0" applyNumberFormat="1" applyFont="1" applyProtection="1">
      <protection locked="0"/>
    </xf>
    <xf numFmtId="43" fontId="3" fillId="0" borderId="0" xfId="1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left"/>
      <protection locked="0"/>
    </xf>
    <xf numFmtId="43" fontId="3" fillId="9" borderId="6" xfId="1" applyFont="1" applyFill="1" applyBorder="1" applyAlignment="1" applyProtection="1">
      <alignment horizontal="right" wrapText="1"/>
      <protection locked="0"/>
    </xf>
    <xf numFmtId="43" fontId="3" fillId="9" borderId="10" xfId="1" applyFont="1" applyFill="1" applyBorder="1" applyAlignment="1" applyProtection="1">
      <alignment horizontal="right" wrapText="1"/>
      <protection locked="0"/>
    </xf>
    <xf numFmtId="41" fontId="2" fillId="9" borderId="6" xfId="0" applyNumberFormat="1" applyFont="1" applyFill="1" applyBorder="1" applyAlignment="1" applyProtection="1">
      <alignment horizontal="center" wrapText="1"/>
      <protection locked="0"/>
    </xf>
    <xf numFmtId="41" fontId="2" fillId="9" borderId="10" xfId="0" applyNumberFormat="1" applyFont="1" applyFill="1" applyBorder="1" applyAlignment="1" applyProtection="1">
      <alignment horizontal="center" wrapText="1"/>
      <protection locked="0"/>
    </xf>
    <xf numFmtId="43" fontId="2" fillId="10" borderId="7" xfId="1" applyFont="1" applyFill="1" applyBorder="1" applyAlignment="1">
      <alignment horizontal="left" wrapText="1"/>
    </xf>
    <xf numFmtId="43" fontId="2" fillId="10" borderId="11" xfId="1" applyFont="1" applyFill="1" applyBorder="1" applyAlignment="1">
      <alignment horizontal="left" wrapText="1"/>
    </xf>
    <xf numFmtId="43" fontId="2" fillId="10" borderId="5" xfId="1" applyFont="1" applyFill="1" applyBorder="1" applyAlignment="1">
      <alignment horizontal="center" wrapText="1"/>
    </xf>
    <xf numFmtId="43" fontId="2" fillId="10" borderId="9" xfId="1" applyFont="1" applyFill="1" applyBorder="1" applyAlignment="1">
      <alignment horizontal="center" wrapText="1"/>
    </xf>
    <xf numFmtId="43" fontId="2" fillId="10" borderId="8" xfId="1" applyFont="1" applyFill="1" applyBorder="1" applyAlignment="1">
      <alignment horizontal="right" wrapText="1"/>
    </xf>
    <xf numFmtId="43" fontId="2" fillId="10" borderId="12" xfId="1" applyFont="1" applyFill="1" applyBorder="1" applyAlignment="1">
      <alignment horizontal="right" wrapText="1"/>
    </xf>
    <xf numFmtId="0" fontId="13" fillId="2" borderId="0" xfId="0" applyFont="1" applyFill="1" applyAlignment="1" applyProtection="1">
      <alignment horizontal="left"/>
      <protection locked="0"/>
    </xf>
    <xf numFmtId="0" fontId="14" fillId="2" borderId="0" xfId="0" applyFont="1" applyFill="1" applyProtection="1">
      <protection locked="0"/>
    </xf>
    <xf numFmtId="14" fontId="14" fillId="2" borderId="0" xfId="0" applyNumberFormat="1" applyFont="1" applyFill="1" applyProtection="1">
      <protection locked="0"/>
    </xf>
    <xf numFmtId="1" fontId="14" fillId="2" borderId="0" xfId="0" applyNumberFormat="1" applyFont="1" applyFill="1" applyAlignment="1" applyProtection="1">
      <alignment horizontal="right"/>
      <protection locked="0"/>
    </xf>
    <xf numFmtId="0" fontId="14" fillId="2" borderId="0" xfId="0" applyFont="1" applyFill="1" applyAlignment="1" applyProtection="1">
      <alignment horizontal="left"/>
      <protection locked="0"/>
    </xf>
    <xf numFmtId="165" fontId="14" fillId="2" borderId="0" xfId="0" applyNumberFormat="1" applyFont="1" applyFill="1" applyProtection="1">
      <protection locked="0"/>
    </xf>
    <xf numFmtId="0" fontId="14" fillId="14" borderId="0" xfId="0" applyFont="1" applyFill="1" applyProtection="1">
      <protection locked="0"/>
    </xf>
    <xf numFmtId="0" fontId="14" fillId="0" borderId="0" xfId="0" applyFont="1" applyProtection="1">
      <protection locked="0"/>
    </xf>
    <xf numFmtId="1" fontId="15" fillId="2" borderId="0" xfId="0" applyNumberFormat="1" applyFont="1" applyFill="1" applyAlignment="1" applyProtection="1">
      <alignment horizontal="left"/>
      <protection locked="0"/>
    </xf>
    <xf numFmtId="165" fontId="14" fillId="14" borderId="0" xfId="0" applyNumberFormat="1" applyFont="1" applyFill="1" applyProtection="1">
      <protection locked="0"/>
    </xf>
    <xf numFmtId="14" fontId="14" fillId="2" borderId="0" xfId="0" applyNumberFormat="1" applyFont="1" applyFill="1" applyAlignment="1" applyProtection="1">
      <alignment horizontal="right"/>
      <protection locked="0"/>
    </xf>
    <xf numFmtId="0" fontId="16" fillId="2" borderId="0" xfId="0" applyFont="1" applyFill="1" applyAlignment="1" applyProtection="1">
      <alignment horizontal="left"/>
      <protection locked="0"/>
    </xf>
    <xf numFmtId="43" fontId="17" fillId="3" borderId="0" xfId="0" applyNumberFormat="1" applyFont="1" applyFill="1" applyProtection="1">
      <protection locked="0"/>
    </xf>
    <xf numFmtId="43" fontId="17" fillId="3" borderId="0" xfId="0" applyNumberFormat="1" applyFont="1" applyFill="1" applyAlignment="1" applyProtection="1">
      <alignment horizontal="left"/>
      <protection locked="0"/>
    </xf>
    <xf numFmtId="165" fontId="18" fillId="3" borderId="0" xfId="0" applyNumberFormat="1" applyFont="1" applyFill="1" applyProtection="1">
      <protection locked="0"/>
    </xf>
    <xf numFmtId="0" fontId="0" fillId="4" borderId="1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19" fillId="2" borderId="0" xfId="0" applyFont="1" applyFill="1" applyProtection="1">
      <protection locked="0"/>
    </xf>
    <xf numFmtId="1" fontId="14" fillId="2" borderId="0" xfId="0" applyNumberFormat="1" applyFont="1" applyFill="1" applyAlignment="1" applyProtection="1">
      <alignment horizontal="center"/>
      <protection locked="0"/>
    </xf>
    <xf numFmtId="1" fontId="20" fillId="5" borderId="2" xfId="0" applyNumberFormat="1" applyFont="1" applyFill="1" applyBorder="1" applyAlignment="1" applyProtection="1">
      <alignment horizontal="right"/>
      <protection locked="0"/>
    </xf>
    <xf numFmtId="43" fontId="14" fillId="6" borderId="1" xfId="1" applyNumberFormat="1" applyFont="1" applyFill="1" applyBorder="1" applyAlignment="1"/>
    <xf numFmtId="43" fontId="14" fillId="6" borderId="2" xfId="1" applyNumberFormat="1" applyFont="1" applyFill="1" applyBorder="1" applyAlignment="1">
      <alignment horizontal="left"/>
    </xf>
    <xf numFmtId="43" fontId="14" fillId="6" borderId="2" xfId="1" applyNumberFormat="1" applyFont="1" applyFill="1" applyBorder="1"/>
    <xf numFmtId="1" fontId="21" fillId="2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center"/>
      <protection locked="0"/>
    </xf>
    <xf numFmtId="14" fontId="22" fillId="2" borderId="0" xfId="0" applyNumberFormat="1" applyFont="1" applyFill="1" applyAlignment="1" applyProtection="1">
      <alignment horizontal="center"/>
      <protection locked="0"/>
    </xf>
    <xf numFmtId="0" fontId="19" fillId="14" borderId="0" xfId="0" applyFont="1" applyFill="1" applyProtection="1">
      <protection locked="0"/>
    </xf>
    <xf numFmtId="1" fontId="0" fillId="2" borderId="0" xfId="0" applyNumberFormat="1" applyFill="1" applyAlignment="1" applyProtection="1">
      <alignment horizontal="right"/>
      <protection locked="0"/>
    </xf>
    <xf numFmtId="14" fontId="0" fillId="2" borderId="0" xfId="0" applyNumberFormat="1" applyFill="1" applyAlignment="1" applyProtection="1">
      <alignment horizontal="right"/>
      <protection locked="0"/>
    </xf>
    <xf numFmtId="14" fontId="14" fillId="2" borderId="0" xfId="0" applyNumberFormat="1" applyFont="1" applyFill="1" applyAlignment="1" applyProtection="1">
      <alignment horizontal="center"/>
      <protection locked="0"/>
    </xf>
    <xf numFmtId="14" fontId="14" fillId="2" borderId="0" xfId="0" applyNumberFormat="1" applyFont="1" applyFill="1" applyAlignment="1" applyProtection="1">
      <alignment horizontal="left"/>
      <protection locked="0"/>
    </xf>
    <xf numFmtId="10" fontId="14" fillId="14" borderId="0" xfId="2" applyNumberFormat="1" applyFont="1" applyFill="1" applyProtection="1">
      <protection locked="0"/>
    </xf>
    <xf numFmtId="0" fontId="0" fillId="2" borderId="0" xfId="0" applyFill="1" applyProtection="1">
      <protection locked="0"/>
    </xf>
    <xf numFmtId="14" fontId="0" fillId="2" borderId="0" xfId="0" applyNumberFormat="1" applyFill="1" applyProtection="1">
      <protection locked="0"/>
    </xf>
    <xf numFmtId="0" fontId="23" fillId="2" borderId="0" xfId="0" applyFont="1" applyFill="1" applyProtection="1">
      <protection locked="0"/>
    </xf>
    <xf numFmtId="10" fontId="14" fillId="14" borderId="0" xfId="0" applyNumberFormat="1" applyFont="1" applyFill="1" applyProtection="1">
      <protection locked="0"/>
    </xf>
    <xf numFmtId="1" fontId="14" fillId="2" borderId="0" xfId="0" applyNumberFormat="1" applyFont="1" applyFill="1" applyAlignment="1" applyProtection="1">
      <alignment horizontal="left"/>
      <protection locked="0"/>
    </xf>
    <xf numFmtId="0" fontId="0" fillId="7" borderId="2" xfId="0" applyFill="1" applyBorder="1" applyAlignment="1" applyProtection="1">
      <alignment horizontal="right"/>
      <protection locked="0"/>
    </xf>
    <xf numFmtId="0" fontId="14" fillId="7" borderId="2" xfId="0" applyFont="1" applyFill="1" applyBorder="1" applyAlignment="1" applyProtection="1">
      <alignment horizontal="right"/>
      <protection locked="0"/>
    </xf>
    <xf numFmtId="0" fontId="0" fillId="8" borderId="1" xfId="0" applyFill="1" applyBorder="1" applyAlignment="1" applyProtection="1">
      <alignment horizontal="left"/>
      <protection locked="0"/>
    </xf>
    <xf numFmtId="0" fontId="0" fillId="8" borderId="3" xfId="0" applyFill="1" applyBorder="1" applyAlignment="1" applyProtection="1">
      <alignment horizontal="center"/>
      <protection locked="0"/>
    </xf>
    <xf numFmtId="0" fontId="0" fillId="8" borderId="4" xfId="0" applyFill="1" applyBorder="1" applyAlignment="1" applyProtection="1">
      <alignment horizontal="right"/>
      <protection locked="0"/>
    </xf>
    <xf numFmtId="14" fontId="0" fillId="8" borderId="4" xfId="0" applyNumberFormat="1" applyFill="1" applyBorder="1" applyAlignment="1" applyProtection="1">
      <alignment horizontal="right"/>
      <protection locked="0"/>
    </xf>
    <xf numFmtId="43" fontId="18" fillId="7" borderId="2" xfId="1" applyNumberFormat="1" applyFont="1" applyFill="1" applyBorder="1" applyAlignment="1" applyProtection="1">
      <alignment horizontal="right"/>
    </xf>
    <xf numFmtId="1" fontId="14" fillId="9" borderId="5" xfId="0" applyNumberFormat="1" applyFont="1" applyFill="1" applyBorder="1" applyAlignment="1" applyProtection="1">
      <alignment horizontal="center"/>
      <protection locked="0"/>
    </xf>
    <xf numFmtId="1" fontId="14" fillId="9" borderId="5" xfId="0" applyNumberFormat="1" applyFont="1" applyFill="1" applyBorder="1" applyAlignment="1" applyProtection="1">
      <alignment horizontal="left"/>
      <protection locked="0"/>
    </xf>
    <xf numFmtId="14" fontId="14" fillId="9" borderId="5" xfId="0" applyNumberFormat="1" applyFont="1" applyFill="1" applyBorder="1" applyAlignment="1" applyProtection="1">
      <alignment horizontal="left"/>
      <protection locked="0"/>
    </xf>
    <xf numFmtId="1" fontId="22" fillId="9" borderId="5" xfId="0" applyNumberFormat="1" applyFont="1" applyFill="1" applyBorder="1" applyAlignment="1" applyProtection="1">
      <alignment horizontal="right"/>
      <protection locked="0"/>
    </xf>
    <xf numFmtId="41" fontId="12" fillId="9" borderId="10" xfId="0" applyNumberFormat="1" applyFont="1" applyFill="1" applyBorder="1" applyAlignment="1" applyProtection="1">
      <alignment horizontal="center" wrapText="1"/>
      <protection locked="0"/>
    </xf>
    <xf numFmtId="41" fontId="12" fillId="15" borderId="16" xfId="0" applyNumberFormat="1" applyFont="1" applyFill="1" applyBorder="1" applyAlignment="1" applyProtection="1">
      <alignment horizontal="center" wrapText="1"/>
      <protection locked="0"/>
    </xf>
    <xf numFmtId="1" fontId="22" fillId="15" borderId="2" xfId="0" applyNumberFormat="1" applyFont="1" applyFill="1" applyBorder="1" applyAlignment="1" applyProtection="1">
      <alignment horizontal="center" wrapText="1"/>
      <protection locked="0"/>
    </xf>
    <xf numFmtId="0" fontId="14" fillId="15" borderId="2" xfId="0" applyFont="1" applyFill="1" applyBorder="1" applyAlignment="1" applyProtection="1">
      <alignment horizontal="center"/>
      <protection locked="0"/>
    </xf>
    <xf numFmtId="43" fontId="12" fillId="10" borderId="2" xfId="1" applyFont="1" applyFill="1" applyBorder="1" applyAlignment="1">
      <alignment horizontal="center" wrapText="1"/>
    </xf>
    <xf numFmtId="0" fontId="22" fillId="9" borderId="9" xfId="0" applyFont="1" applyFill="1" applyBorder="1" applyAlignment="1" applyProtection="1">
      <alignment horizontal="center"/>
      <protection locked="0"/>
    </xf>
    <xf numFmtId="1" fontId="22" fillId="9" borderId="9" xfId="0" applyNumberFormat="1" applyFont="1" applyFill="1" applyBorder="1" applyAlignment="1" applyProtection="1">
      <alignment horizontal="center"/>
      <protection locked="0"/>
    </xf>
    <xf numFmtId="0" fontId="22" fillId="9" borderId="9" xfId="0" applyFont="1" applyFill="1" applyBorder="1" applyAlignment="1">
      <alignment horizontal="left"/>
    </xf>
    <xf numFmtId="14" fontId="22" fillId="9" borderId="9" xfId="0" applyNumberFormat="1" applyFont="1" applyFill="1" applyBorder="1" applyAlignment="1">
      <alignment horizontal="right"/>
    </xf>
    <xf numFmtId="1" fontId="22" fillId="9" borderId="10" xfId="0" applyNumberFormat="1" applyFont="1" applyFill="1" applyBorder="1" applyAlignment="1">
      <alignment horizontal="right"/>
    </xf>
    <xf numFmtId="0" fontId="22" fillId="9" borderId="10" xfId="0" applyFont="1" applyFill="1" applyBorder="1" applyAlignment="1" applyProtection="1">
      <alignment horizontal="left"/>
      <protection locked="0"/>
    </xf>
    <xf numFmtId="0" fontId="14" fillId="2" borderId="13" xfId="0" applyFont="1" applyFill="1" applyBorder="1" applyAlignment="1">
      <alignment horizontal="center"/>
    </xf>
    <xf numFmtId="1" fontId="14" fillId="2" borderId="13" xfId="0" applyNumberFormat="1" applyFont="1" applyFill="1" applyBorder="1" applyAlignment="1">
      <alignment horizontal="center"/>
    </xf>
    <xf numFmtId="167" fontId="14" fillId="0" borderId="2" xfId="0" applyNumberFormat="1" applyFont="1" applyBorder="1" applyAlignment="1" applyProtection="1">
      <alignment horizontal="center"/>
      <protection locked="0"/>
    </xf>
    <xf numFmtId="1" fontId="14" fillId="0" borderId="2" xfId="0" applyNumberFormat="1" applyFont="1" applyBorder="1" applyAlignment="1" applyProtection="1">
      <alignment horizontal="right"/>
      <protection locked="0"/>
    </xf>
    <xf numFmtId="43" fontId="0" fillId="0" borderId="2" xfId="1" applyFont="1" applyFill="1" applyBorder="1"/>
    <xf numFmtId="43" fontId="0" fillId="12" borderId="1" xfId="1" applyFont="1" applyFill="1" applyBorder="1" applyAlignment="1" applyProtection="1">
      <alignment horizontal="right"/>
      <protection locked="0"/>
    </xf>
    <xf numFmtId="43" fontId="14" fillId="12" borderId="2" xfId="1" applyFont="1" applyFill="1" applyBorder="1" applyAlignment="1" applyProtection="1">
      <alignment horizontal="left"/>
      <protection locked="0"/>
    </xf>
    <xf numFmtId="43" fontId="0" fillId="12" borderId="17" xfId="1" applyFont="1" applyFill="1" applyBorder="1" applyAlignment="1" applyProtection="1">
      <alignment horizontal="left"/>
      <protection locked="0"/>
    </xf>
    <xf numFmtId="43" fontId="14" fillId="0" borderId="2" xfId="1" applyFont="1" applyFill="1" applyBorder="1" applyProtection="1">
      <protection locked="0"/>
    </xf>
    <xf numFmtId="0" fontId="14" fillId="0" borderId="14" xfId="0" applyFont="1" applyBorder="1" applyProtection="1">
      <protection locked="0"/>
    </xf>
    <xf numFmtId="0" fontId="14" fillId="0" borderId="13" xfId="0" applyFont="1" applyBorder="1" applyProtection="1">
      <protection locked="0"/>
    </xf>
    <xf numFmtId="10" fontId="14" fillId="14" borderId="0" xfId="2" applyNumberFormat="1" applyFont="1" applyFill="1" applyBorder="1" applyProtection="1">
      <protection locked="0"/>
    </xf>
    <xf numFmtId="0" fontId="24" fillId="0" borderId="2" xfId="0" applyFont="1" applyBorder="1" applyAlignment="1">
      <alignment vertical="center"/>
    </xf>
    <xf numFmtId="43" fontId="0" fillId="0" borderId="2" xfId="1" applyFont="1" applyFill="1" applyBorder="1" applyAlignment="1" applyProtection="1">
      <alignment horizontal="right"/>
      <protection locked="0"/>
    </xf>
    <xf numFmtId="0" fontId="14" fillId="0" borderId="2" xfId="0" applyFont="1" applyBorder="1" applyProtection="1">
      <protection locked="0"/>
    </xf>
    <xf numFmtId="0" fontId="24" fillId="0" borderId="2" xfId="0" applyFont="1" applyBorder="1" applyAlignment="1">
      <alignment vertical="center" wrapText="1"/>
    </xf>
    <xf numFmtId="0" fontId="14" fillId="0" borderId="1" xfId="0" applyFont="1" applyBorder="1" applyProtection="1">
      <protection locked="0"/>
    </xf>
    <xf numFmtId="0" fontId="14" fillId="16" borderId="0" xfId="0" applyFont="1" applyFill="1" applyProtection="1">
      <protection locked="0"/>
    </xf>
    <xf numFmtId="0" fontId="14" fillId="12" borderId="0" xfId="0" applyFont="1" applyFill="1" applyAlignment="1" applyProtection="1">
      <alignment horizontal="left"/>
      <protection locked="0"/>
    </xf>
    <xf numFmtId="43" fontId="24" fillId="0" borderId="2" xfId="1" applyFont="1" applyFill="1" applyBorder="1" applyAlignment="1"/>
    <xf numFmtId="0" fontId="14" fillId="0" borderId="13" xfId="0" applyFont="1" applyBorder="1" applyAlignment="1">
      <alignment horizontal="center"/>
    </xf>
    <xf numFmtId="1" fontId="14" fillId="0" borderId="13" xfId="0" applyNumberFormat="1" applyFont="1" applyBorder="1" applyAlignment="1">
      <alignment horizontal="center"/>
    </xf>
    <xf numFmtId="43" fontId="0" fillId="0" borderId="0" xfId="1" applyFont="1" applyFill="1" applyBorder="1" applyAlignment="1" applyProtection="1">
      <alignment horizontal="right"/>
      <protection locked="0"/>
    </xf>
    <xf numFmtId="4" fontId="0" fillId="0" borderId="2" xfId="0" applyNumberFormat="1" applyBorder="1"/>
    <xf numFmtId="0" fontId="24" fillId="0" borderId="0" xfId="0" applyFont="1" applyAlignment="1">
      <alignment vertical="center"/>
    </xf>
    <xf numFmtId="14" fontId="14" fillId="0" borderId="2" xfId="0" applyNumberFormat="1" applyFont="1" applyBorder="1" applyAlignment="1" applyProtection="1">
      <alignment horizontal="center"/>
      <protection locked="0"/>
    </xf>
    <xf numFmtId="1" fontId="14" fillId="0" borderId="13" xfId="0" applyNumberFormat="1" applyFont="1" applyBorder="1" applyAlignment="1" applyProtection="1">
      <alignment horizontal="right"/>
      <protection locked="0"/>
    </xf>
    <xf numFmtId="0" fontId="24" fillId="0" borderId="9" xfId="0" applyFont="1" applyBorder="1" applyAlignment="1">
      <alignment vertical="center"/>
    </xf>
    <xf numFmtId="43" fontId="0" fillId="0" borderId="13" xfId="1" applyFont="1" applyFill="1" applyBorder="1" applyAlignment="1" applyProtection="1">
      <alignment horizontal="right"/>
      <protection locked="0"/>
    </xf>
    <xf numFmtId="43" fontId="0" fillId="12" borderId="14" xfId="1" applyFont="1" applyFill="1" applyBorder="1" applyAlignment="1" applyProtection="1">
      <alignment horizontal="right"/>
      <protection locked="0"/>
    </xf>
    <xf numFmtId="43" fontId="0" fillId="0" borderId="0" xfId="1" applyFont="1" applyFill="1"/>
    <xf numFmtId="0" fontId="24" fillId="0" borderId="18" xfId="0" applyFont="1" applyBorder="1" applyAlignment="1">
      <alignment vertical="center"/>
    </xf>
    <xf numFmtId="43" fontId="14" fillId="0" borderId="2" xfId="1" applyFont="1" applyFill="1" applyBorder="1" applyAlignment="1" applyProtection="1">
      <alignment horizontal="right"/>
      <protection locked="0"/>
    </xf>
    <xf numFmtId="43" fontId="0" fillId="12" borderId="3" xfId="1" applyFont="1" applyFill="1" applyBorder="1" applyAlignment="1" applyProtection="1">
      <alignment horizontal="left"/>
      <protection locked="0"/>
    </xf>
    <xf numFmtId="43" fontId="14" fillId="0" borderId="2" xfId="1" applyFont="1" applyFill="1" applyBorder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43" fontId="14" fillId="0" borderId="2" xfId="1" applyFont="1" applyFill="1" applyBorder="1" applyAlignment="1" applyProtection="1">
      <alignment horizontal="left"/>
      <protection locked="0"/>
    </xf>
    <xf numFmtId="0" fontId="14" fillId="0" borderId="0" xfId="0" applyFont="1" applyAlignment="1" applyProtection="1">
      <alignment horizontal="left"/>
      <protection locked="0"/>
    </xf>
    <xf numFmtId="0" fontId="14" fillId="5" borderId="0" xfId="0" applyFont="1" applyFill="1" applyProtection="1">
      <protection locked="0"/>
    </xf>
    <xf numFmtId="0" fontId="14" fillId="0" borderId="2" xfId="0" applyFont="1" applyBorder="1" applyAlignment="1" applyProtection="1">
      <alignment horizontal="left"/>
      <protection locked="0"/>
    </xf>
    <xf numFmtId="0" fontId="14" fillId="5" borderId="0" xfId="0" applyFont="1" applyFill="1" applyAlignment="1" applyProtection="1">
      <alignment horizontal="left"/>
      <protection locked="0"/>
    </xf>
    <xf numFmtId="0" fontId="14" fillId="17" borderId="0" xfId="0" applyFont="1" applyFill="1" applyProtection="1">
      <protection locked="0"/>
    </xf>
    <xf numFmtId="0" fontId="14" fillId="17" borderId="13" xfId="0" applyFont="1" applyFill="1" applyBorder="1" applyAlignment="1">
      <alignment horizontal="center"/>
    </xf>
    <xf numFmtId="1" fontId="14" fillId="17" borderId="13" xfId="0" applyNumberFormat="1" applyFont="1" applyFill="1" applyBorder="1" applyAlignment="1">
      <alignment horizontal="center"/>
    </xf>
    <xf numFmtId="4" fontId="14" fillId="0" borderId="2" xfId="0" applyNumberFormat="1" applyFont="1" applyBorder="1" applyAlignment="1" applyProtection="1">
      <alignment horizontal="right"/>
      <protection locked="0"/>
    </xf>
    <xf numFmtId="4" fontId="0" fillId="12" borderId="1" xfId="1" applyNumberFormat="1" applyFont="1" applyFill="1" applyBorder="1" applyAlignment="1" applyProtection="1">
      <alignment horizontal="right"/>
      <protection locked="0"/>
    </xf>
    <xf numFmtId="4" fontId="14" fillId="12" borderId="2" xfId="0" applyNumberFormat="1" applyFont="1" applyFill="1" applyBorder="1" applyAlignment="1" applyProtection="1">
      <alignment horizontal="left"/>
      <protection locked="0"/>
    </xf>
    <xf numFmtId="0" fontId="14" fillId="13" borderId="2" xfId="0" applyFont="1" applyFill="1" applyBorder="1" applyProtection="1">
      <protection locked="0"/>
    </xf>
    <xf numFmtId="0" fontId="14" fillId="13" borderId="0" xfId="0" applyFont="1" applyFill="1" applyProtection="1">
      <protection locked="0"/>
    </xf>
    <xf numFmtId="0" fontId="25" fillId="0" borderId="2" xfId="0" applyFont="1" applyBorder="1" applyAlignment="1" applyProtection="1">
      <alignment horizontal="left"/>
      <protection locked="0"/>
    </xf>
    <xf numFmtId="4" fontId="0" fillId="12" borderId="2" xfId="1" applyNumberFormat="1" applyFont="1" applyFill="1" applyBorder="1" applyAlignment="1" applyProtection="1">
      <alignment horizontal="right"/>
      <protection locked="0"/>
    </xf>
    <xf numFmtId="4" fontId="14" fillId="12" borderId="0" xfId="0" applyNumberFormat="1" applyFont="1" applyFill="1" applyAlignment="1" applyProtection="1">
      <alignment horizontal="left"/>
      <protection locked="0"/>
    </xf>
    <xf numFmtId="43" fontId="0" fillId="12" borderId="14" xfId="1" applyFont="1" applyFill="1" applyBorder="1" applyAlignment="1" applyProtection="1">
      <alignment horizontal="left"/>
      <protection locked="0"/>
    </xf>
    <xf numFmtId="43" fontId="0" fillId="12" borderId="1" xfId="1" applyFont="1" applyFill="1" applyBorder="1" applyAlignment="1" applyProtection="1">
      <alignment horizontal="left"/>
      <protection locked="0"/>
    </xf>
    <xf numFmtId="14" fontId="14" fillId="0" borderId="0" xfId="0" applyNumberFormat="1" applyFont="1" applyAlignment="1" applyProtection="1">
      <alignment horizontal="center"/>
      <protection locked="0"/>
    </xf>
    <xf numFmtId="43" fontId="0" fillId="12" borderId="2" xfId="1" applyFont="1" applyFill="1" applyBorder="1" applyAlignment="1" applyProtection="1">
      <alignment horizontal="left"/>
      <protection locked="0"/>
    </xf>
    <xf numFmtId="43" fontId="1" fillId="12" borderId="2" xfId="1" applyFont="1" applyFill="1" applyBorder="1" applyAlignment="1" applyProtection="1">
      <alignment horizontal="left"/>
      <protection locked="0"/>
    </xf>
    <xf numFmtId="14" fontId="26" fillId="0" borderId="0" xfId="0" applyNumberFormat="1" applyFont="1" applyAlignment="1">
      <alignment horizontal="left" vertical="top"/>
    </xf>
    <xf numFmtId="0" fontId="26" fillId="0" borderId="0" xfId="0" applyFont="1" applyAlignment="1">
      <alignment horizontal="left" vertical="center"/>
    </xf>
    <xf numFmtId="43" fontId="26" fillId="0" borderId="0" xfId="1" applyNumberFormat="1" applyFont="1" applyBorder="1" applyAlignment="1">
      <alignment horizontal="right" vertical="top"/>
    </xf>
    <xf numFmtId="43" fontId="26" fillId="12" borderId="0" xfId="1" applyNumberFormat="1" applyFont="1" applyFill="1" applyBorder="1" applyAlignment="1">
      <alignment horizontal="right" vertical="top"/>
    </xf>
    <xf numFmtId="0" fontId="26" fillId="0" borderId="0" xfId="0" applyFont="1" applyAlignment="1">
      <alignment vertical="center"/>
    </xf>
    <xf numFmtId="43" fontId="26" fillId="0" borderId="0" xfId="1" applyNumberFormat="1" applyFont="1" applyBorder="1" applyAlignment="1">
      <alignment horizontal="right" vertical="top" wrapText="1"/>
    </xf>
    <xf numFmtId="4" fontId="14" fillId="0" borderId="0" xfId="0" applyNumberFormat="1" applyFont="1" applyAlignment="1" applyProtection="1">
      <alignment horizontal="left"/>
      <protection locked="0"/>
    </xf>
    <xf numFmtId="4" fontId="0" fillId="0" borderId="2" xfId="1" applyNumberFormat="1" applyFont="1" applyBorder="1" applyAlignment="1" applyProtection="1">
      <alignment horizontal="right"/>
      <protection locked="0"/>
    </xf>
    <xf numFmtId="43" fontId="1" fillId="0" borderId="0" xfId="1" applyNumberFormat="1" applyFont="1" applyBorder="1"/>
    <xf numFmtId="14" fontId="26" fillId="0" borderId="2" xfId="0" applyNumberFormat="1" applyFont="1" applyBorder="1" applyAlignment="1">
      <alignment horizontal="left" vertical="top"/>
    </xf>
    <xf numFmtId="0" fontId="26" fillId="0" borderId="2" xfId="0" applyFont="1" applyBorder="1" applyAlignment="1">
      <alignment vertical="center"/>
    </xf>
    <xf numFmtId="43" fontId="26" fillId="0" borderId="2" xfId="1" applyNumberFormat="1" applyFont="1" applyBorder="1" applyAlignment="1">
      <alignment horizontal="right" vertical="center"/>
    </xf>
    <xf numFmtId="0" fontId="26" fillId="0" borderId="2" xfId="0" applyFont="1" applyBorder="1" applyAlignment="1">
      <alignment horizontal="left" vertical="top"/>
    </xf>
    <xf numFmtId="3" fontId="14" fillId="0" borderId="2" xfId="0" applyNumberFormat="1" applyFont="1" applyBorder="1" applyAlignment="1" applyProtection="1">
      <alignment horizontal="right"/>
      <protection locked="0"/>
    </xf>
    <xf numFmtId="0" fontId="0" fillId="12" borderId="13" xfId="0" applyFill="1" applyBorder="1" applyAlignment="1" applyProtection="1">
      <alignment horizontal="right"/>
      <protection locked="0"/>
    </xf>
    <xf numFmtId="43" fontId="0" fillId="0" borderId="2" xfId="1" applyNumberFormat="1" applyFont="1" applyBorder="1"/>
    <xf numFmtId="0" fontId="0" fillId="0" borderId="2" xfId="0" applyBorder="1" applyAlignment="1">
      <alignment horizontal="left" vertical="top"/>
    </xf>
    <xf numFmtId="0" fontId="14" fillId="3" borderId="13" xfId="0" applyFont="1" applyFill="1" applyBorder="1" applyAlignment="1">
      <alignment horizontal="center"/>
    </xf>
    <xf numFmtId="1" fontId="14" fillId="3" borderId="13" xfId="0" applyNumberFormat="1" applyFont="1" applyFill="1" applyBorder="1" applyAlignment="1">
      <alignment horizontal="center"/>
    </xf>
    <xf numFmtId="14" fontId="14" fillId="3" borderId="0" xfId="0" applyNumberFormat="1" applyFont="1" applyFill="1" applyAlignment="1" applyProtection="1">
      <alignment horizontal="center"/>
      <protection locked="0"/>
    </xf>
    <xf numFmtId="1" fontId="14" fillId="3" borderId="0" xfId="0" applyNumberFormat="1" applyFont="1" applyFill="1" applyAlignment="1" applyProtection="1">
      <alignment horizontal="right"/>
      <protection locked="0"/>
    </xf>
    <xf numFmtId="0" fontId="14" fillId="3" borderId="0" xfId="0" applyFont="1" applyFill="1" applyAlignment="1" applyProtection="1">
      <alignment horizontal="left"/>
      <protection locked="0"/>
    </xf>
    <xf numFmtId="4" fontId="14" fillId="3" borderId="0" xfId="0" applyNumberFormat="1" applyFont="1" applyFill="1" applyAlignment="1" applyProtection="1">
      <alignment horizontal="right"/>
      <protection locked="0"/>
    </xf>
    <xf numFmtId="0" fontId="14" fillId="3" borderId="0" xfId="0" applyFont="1" applyFill="1" applyProtection="1">
      <protection locked="0"/>
    </xf>
    <xf numFmtId="1" fontId="14" fillId="0" borderId="0" xfId="0" applyNumberFormat="1" applyFont="1" applyAlignment="1" applyProtection="1">
      <alignment horizontal="center"/>
      <protection locked="0"/>
    </xf>
    <xf numFmtId="1" fontId="14" fillId="0" borderId="0" xfId="0" applyNumberFormat="1" applyFont="1" applyAlignment="1" applyProtection="1">
      <alignment horizontal="right"/>
      <protection locked="0"/>
    </xf>
    <xf numFmtId="3" fontId="14" fillId="0" borderId="0" xfId="0" applyNumberFormat="1" applyFont="1" applyAlignment="1" applyProtection="1">
      <alignment horizontal="right"/>
      <protection locked="0"/>
    </xf>
    <xf numFmtId="0" fontId="0" fillId="0" borderId="0" xfId="0" applyProtection="1"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DASHBOARD 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DASHBOARD 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1304924</xdr:colOff>
      <xdr:row>19</xdr:row>
      <xdr:rowOff>9526</xdr:rowOff>
    </xdr:from>
    <xdr:to>
      <xdr:col>12</xdr:col>
      <xdr:colOff>333374</xdr:colOff>
      <xdr:row>23</xdr:row>
      <xdr:rowOff>85726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/>
      </xdr:nvSpPr>
      <xdr:spPr>
        <a:xfrm>
          <a:off x="18996024" y="3749676"/>
          <a:ext cx="5149850" cy="863600"/>
        </a:xfrm>
        <a:prstGeom prst="leftArrow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GB" sz="1100" b="1">
              <a:solidFill>
                <a:schemeClr val="bg1"/>
              </a:solidFill>
            </a:rPr>
            <a:t>BACK</a:t>
          </a:r>
          <a:r>
            <a:rPr lang="en-GB" sz="1100" b="1" baseline="0">
              <a:solidFill>
                <a:schemeClr val="bg1"/>
              </a:solidFill>
            </a:rPr>
            <a:t> </a:t>
          </a:r>
          <a:r>
            <a:rPr lang="en-GB" sz="1100" b="1">
              <a:solidFill>
                <a:schemeClr val="bg1"/>
              </a:solidFill>
            </a:rPr>
            <a:t>TO DASHBOARD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866775</xdr:colOff>
      <xdr:row>2</xdr:row>
      <xdr:rowOff>85725</xdr:rowOff>
    </xdr:to>
    <xdr:sp macro="" textlink="">
      <xdr:nvSpPr>
        <xdr:cNvPr id="3" name="Left Arrow 2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/>
      </xdr:nvSpPr>
      <xdr:spPr>
        <a:xfrm>
          <a:off x="17691100" y="0"/>
          <a:ext cx="2454275" cy="479425"/>
        </a:xfrm>
        <a:prstGeom prst="leftArrow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GB" sz="1100" b="1">
              <a:solidFill>
                <a:schemeClr val="bg1"/>
              </a:solidFill>
            </a:rPr>
            <a:t>BACK</a:t>
          </a:r>
          <a:r>
            <a:rPr lang="en-GB" sz="1100" b="1" baseline="0">
              <a:solidFill>
                <a:schemeClr val="bg1"/>
              </a:solidFill>
            </a:rPr>
            <a:t> </a:t>
          </a:r>
          <a:r>
            <a:rPr lang="en-GB" sz="1100" b="1">
              <a:solidFill>
                <a:schemeClr val="bg1"/>
              </a:solidFill>
            </a:rPr>
            <a:t>TO DASHBOARD</a:t>
          </a:r>
        </a:p>
      </xdr:txBody>
    </xdr:sp>
    <xdr:clientData/>
  </xdr:twoCellAnchor>
  <xdr:twoCellAnchor editAs="oneCell">
    <xdr:from>
      <xdr:col>0</xdr:col>
      <xdr:colOff>180975</xdr:colOff>
      <xdr:row>2</xdr:row>
      <xdr:rowOff>85725</xdr:rowOff>
    </xdr:from>
    <xdr:to>
      <xdr:col>4</xdr:col>
      <xdr:colOff>198392</xdr:colOff>
      <xdr:row>7</xdr:row>
      <xdr:rowOff>174679</xdr:rowOff>
    </xdr:to>
    <xdr:pic>
      <xdr:nvPicPr>
        <xdr:cNvPr id="4" name="Picture 3" descr="C:\Users\ADMIN\Downloads\IMG-20180701-WA0031 (1).jp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00" t="27800" r="25600" b="37400"/>
        <a:stretch>
          <a:fillRect/>
        </a:stretch>
      </xdr:blipFill>
      <xdr:spPr>
        <a:xfrm>
          <a:off x="180975" y="479425"/>
          <a:ext cx="2322467" cy="100970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1304924</xdr:colOff>
      <xdr:row>19</xdr:row>
      <xdr:rowOff>9526</xdr:rowOff>
    </xdr:from>
    <xdr:to>
      <xdr:col>12</xdr:col>
      <xdr:colOff>333374</xdr:colOff>
      <xdr:row>23</xdr:row>
      <xdr:rowOff>85726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13496924" y="4657726"/>
          <a:ext cx="2362200" cy="901700"/>
        </a:xfrm>
        <a:prstGeom prst="leftArrow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GB" sz="1100" b="1">
              <a:solidFill>
                <a:schemeClr val="bg1"/>
              </a:solidFill>
            </a:rPr>
            <a:t>BACK</a:t>
          </a:r>
          <a:r>
            <a:rPr lang="en-GB" sz="1100" b="1" baseline="0">
              <a:solidFill>
                <a:schemeClr val="bg1"/>
              </a:solidFill>
            </a:rPr>
            <a:t> </a:t>
          </a:r>
          <a:r>
            <a:rPr lang="en-GB" sz="1100" b="1">
              <a:solidFill>
                <a:schemeClr val="bg1"/>
              </a:solidFill>
            </a:rPr>
            <a:t>TO DASHBOARD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10</xdr:col>
      <xdr:colOff>866775</xdr:colOff>
      <xdr:row>2</xdr:row>
      <xdr:rowOff>85725</xdr:rowOff>
    </xdr:to>
    <xdr:sp macro="" textlink="">
      <xdr:nvSpPr>
        <xdr:cNvPr id="3" name="Left Arrow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12458700" y="0"/>
          <a:ext cx="1901825" cy="619125"/>
        </a:xfrm>
        <a:prstGeom prst="leftArrow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GB" sz="1100" b="1">
              <a:solidFill>
                <a:schemeClr val="bg1"/>
              </a:solidFill>
            </a:rPr>
            <a:t>BACK</a:t>
          </a:r>
          <a:r>
            <a:rPr lang="en-GB" sz="1100" b="1" baseline="0">
              <a:solidFill>
                <a:schemeClr val="bg1"/>
              </a:solidFill>
            </a:rPr>
            <a:t> </a:t>
          </a:r>
          <a:r>
            <a:rPr lang="en-GB" sz="1100" b="1">
              <a:solidFill>
                <a:schemeClr val="bg1"/>
              </a:solidFill>
            </a:rPr>
            <a:t>TO DASHBOARD</a:t>
          </a:r>
        </a:p>
      </xdr:txBody>
    </xdr:sp>
    <xdr:clientData/>
  </xdr:twoCellAnchor>
  <xdr:twoCellAnchor editAs="oneCell">
    <xdr:from>
      <xdr:col>0</xdr:col>
      <xdr:colOff>180975</xdr:colOff>
      <xdr:row>2</xdr:row>
      <xdr:rowOff>85725</xdr:rowOff>
    </xdr:from>
    <xdr:to>
      <xdr:col>4</xdr:col>
      <xdr:colOff>183083</xdr:colOff>
      <xdr:row>9</xdr:row>
      <xdr:rowOff>12700</xdr:rowOff>
    </xdr:to>
    <xdr:pic>
      <xdr:nvPicPr>
        <xdr:cNvPr id="4" name="Picture 3" descr="C:\Users\ADMIN\Downloads\IMG-20180701-WA0031 (1).jpg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00" t="27800" r="25600" b="37400"/>
        <a:stretch>
          <a:fillRect/>
        </a:stretch>
      </xdr:blipFill>
      <xdr:spPr>
        <a:xfrm>
          <a:off x="180975" y="619125"/>
          <a:ext cx="2313508" cy="1216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\shared_folder\ad\SHARED_FOLDER\FINANCE_DEPARTMENT\acct\ACCONTING%20TEMPLATE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 "/>
      <sheetName val="LEDGER"/>
      <sheetName val="INCOME BY PROJECT ACCOUNT"/>
      <sheetName val="IMPREST &amp; FLOAT TEMPLATE"/>
      <sheetName val="PAYROLL SYSTEM"/>
      <sheetName val="BANK LODGEMENT "/>
      <sheetName val="BANK PAYMENT "/>
      <sheetName val="PAYE REMIMTANCES"/>
      <sheetName val="FIXED ASSET REGISTER"/>
      <sheetName val="WITHOLDING TAX SCHEDULE"/>
      <sheetName val="P&amp;L ACCOUNT"/>
      <sheetName val="BALANCE SHEET"/>
      <sheetName val="UPDATE ON RECEIVED FROM CEO"/>
      <sheetName val="BANK ACCT"/>
      <sheetName val="Sheet1"/>
      <sheetName val="Sheet2"/>
      <sheetName val="Sheet3"/>
      <sheetName val="invoice"/>
      <sheetName val="payment voucher"/>
      <sheetName val="control panel exp"/>
    </sheetNames>
    <sheetDataSet>
      <sheetData sheetId="0" refreshError="1">
        <row r="3">
          <cell r="F3" t="str">
            <v>PYRICH GROUP LIMITED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72"/>
  <sheetViews>
    <sheetView topLeftCell="B4" workbookViewId="0">
      <selection activeCell="E21" sqref="E21"/>
    </sheetView>
  </sheetViews>
  <sheetFormatPr defaultColWidth="9.1796875" defaultRowHeight="15.5" x14ac:dyDescent="0.35"/>
  <cols>
    <col min="1" max="1" width="4.453125" style="2" customWidth="1"/>
    <col min="2" max="2" width="12.7265625" style="2" customWidth="1"/>
    <col min="3" max="3" width="6.1796875" style="127" customWidth="1"/>
    <col min="4" max="4" width="11.453125" style="127" bestFit="1" customWidth="1"/>
    <col min="5" max="5" width="8" style="79" customWidth="1"/>
    <col min="6" max="6" width="15" style="129" customWidth="1"/>
    <col min="7" max="7" width="20.453125" style="130" customWidth="1"/>
    <col min="8" max="8" width="141.26953125" style="131" customWidth="1"/>
    <col min="9" max="9" width="33.7265625" style="132" customWidth="1"/>
    <col min="10" max="10" width="22.7265625" style="126" customWidth="1"/>
    <col min="11" max="11" width="19.453125" style="74" bestFit="1" customWidth="1"/>
    <col min="12" max="12" width="45.453125" style="133" customWidth="1"/>
    <col min="13" max="13" width="38.26953125" style="79" customWidth="1"/>
    <col min="14" max="14" width="17.453125" style="2" customWidth="1"/>
    <col min="15" max="15" width="20.1796875" style="9" customWidth="1"/>
    <col min="16" max="16" width="7.81640625" style="9" customWidth="1"/>
    <col min="17" max="17" width="9.1796875" style="9"/>
    <col min="18" max="18" width="11.1796875" style="9" customWidth="1"/>
    <col min="19" max="16384" width="9.1796875" style="9"/>
  </cols>
  <sheetData>
    <row r="1" spans="1:17" x14ac:dyDescent="0.35">
      <c r="A1" s="1" t="str">
        <f>'[1]DASHBOARD '!F3</f>
        <v>PYRICH GROUP LIMITED</v>
      </c>
      <c r="C1" s="2"/>
      <c r="D1" s="2"/>
      <c r="E1" s="2"/>
      <c r="F1" s="3"/>
      <c r="G1" s="4"/>
      <c r="H1" s="5"/>
      <c r="I1" s="6"/>
      <c r="J1" s="2"/>
      <c r="K1" s="7"/>
      <c r="L1" s="1"/>
      <c r="M1" s="8"/>
      <c r="O1" s="2"/>
      <c r="P1" s="2"/>
    </row>
    <row r="2" spans="1:17" x14ac:dyDescent="0.35">
      <c r="A2" s="10" t="s">
        <v>0</v>
      </c>
      <c r="C2" s="2"/>
      <c r="D2" s="2"/>
      <c r="E2" s="2"/>
      <c r="F2" s="3"/>
      <c r="G2" s="4"/>
      <c r="H2" s="5"/>
      <c r="I2" s="6"/>
      <c r="J2" s="2"/>
      <c r="K2" s="7"/>
      <c r="L2" s="10"/>
      <c r="M2" s="11"/>
      <c r="O2" s="2"/>
      <c r="P2" s="2"/>
      <c r="Q2" s="12"/>
    </row>
    <row r="3" spans="1:17" x14ac:dyDescent="0.35">
      <c r="A3" s="4"/>
      <c r="B3" s="4"/>
      <c r="C3" s="4"/>
      <c r="D3" s="4"/>
      <c r="E3" s="4"/>
      <c r="F3" s="3"/>
      <c r="G3" s="4"/>
      <c r="H3" s="5"/>
      <c r="I3" s="6"/>
      <c r="J3" s="2"/>
      <c r="K3" s="7"/>
      <c r="L3" s="10"/>
      <c r="M3" s="11"/>
      <c r="O3" s="2"/>
      <c r="P3" s="2"/>
    </row>
    <row r="4" spans="1:17" x14ac:dyDescent="0.35">
      <c r="A4" s="7"/>
      <c r="C4" s="2"/>
      <c r="D4" s="2"/>
      <c r="E4" s="2"/>
      <c r="F4" s="3"/>
      <c r="G4" s="4"/>
      <c r="H4" s="5"/>
      <c r="I4" s="6"/>
      <c r="J4" s="2"/>
      <c r="K4" s="7"/>
      <c r="L4" s="1"/>
      <c r="M4" s="13"/>
      <c r="O4" s="2"/>
      <c r="P4" s="2"/>
    </row>
    <row r="5" spans="1:17" x14ac:dyDescent="0.35">
      <c r="A5" s="7"/>
      <c r="C5" s="2"/>
      <c r="D5" s="2"/>
      <c r="E5" s="2"/>
      <c r="F5" s="3"/>
      <c r="G5" s="4"/>
      <c r="H5" s="14">
        <f t="shared" ref="H5:M5" si="0">SUM(H7:H11)</f>
        <v>0</v>
      </c>
      <c r="I5" s="15">
        <f t="shared" si="0"/>
        <v>0</v>
      </c>
      <c r="J5" s="16">
        <f t="shared" si="0"/>
        <v>0</v>
      </c>
      <c r="K5" s="17">
        <f t="shared" si="0"/>
        <v>0</v>
      </c>
      <c r="L5" s="18">
        <f t="shared" si="0"/>
        <v>0</v>
      </c>
      <c r="M5" s="19">
        <f t="shared" si="0"/>
        <v>0</v>
      </c>
      <c r="O5" s="2"/>
      <c r="P5" s="2"/>
    </row>
    <row r="6" spans="1:17" x14ac:dyDescent="0.35">
      <c r="C6" s="2"/>
      <c r="D6" s="2"/>
      <c r="E6" s="2"/>
      <c r="F6" s="3"/>
      <c r="G6" s="20">
        <f>H5+I5+J5+K5+L5+M5</f>
        <v>0</v>
      </c>
      <c r="H6" s="21" t="s">
        <v>1</v>
      </c>
      <c r="I6" s="22" t="s">
        <v>2</v>
      </c>
      <c r="J6" s="23" t="s">
        <v>3</v>
      </c>
      <c r="K6" s="23" t="s">
        <v>4</v>
      </c>
      <c r="L6" s="23" t="s">
        <v>5</v>
      </c>
      <c r="M6" s="23" t="s">
        <v>6</v>
      </c>
      <c r="O6" s="2"/>
      <c r="P6" s="2"/>
    </row>
    <row r="7" spans="1:17" x14ac:dyDescent="0.35">
      <c r="C7" s="2"/>
      <c r="D7" s="11"/>
      <c r="E7" s="2"/>
      <c r="F7" s="3"/>
      <c r="G7" s="24" t="s">
        <v>7</v>
      </c>
      <c r="H7" s="25">
        <f>SUMIFS($I$27:$I$492222,$E$27:$E$492222,1,$D$27:$D$492222,$H$6)</f>
        <v>0</v>
      </c>
      <c r="I7" s="26">
        <f>SUMIFS($I$27:$I$492270,$E$27:$E$492270,1,$D$27:$D$492270,$I$6)</f>
        <v>0</v>
      </c>
      <c r="J7" s="27">
        <f>SUMIFS($I$27:$I$492270,$E$27:$E$492270,1,$D$27:$D$492270,$J$6)</f>
        <v>0</v>
      </c>
      <c r="K7" s="27">
        <f>SUMIFS($I$27:$I$492270,$E$27:$E$492270,1,$D$27:$D$492270,$K$6)</f>
        <v>0</v>
      </c>
      <c r="L7" s="27">
        <f>SUMIFS($I$27:$I$492270,$E$27:$E$492270,1,$D$27:$D$492270,$L$6)</f>
        <v>0</v>
      </c>
      <c r="M7" s="27">
        <f>SUMIFS($I$27:$I$492270,$E$27:$E$492270,1,$D$27:$D$492270,$M$6)</f>
        <v>0</v>
      </c>
      <c r="O7" s="2"/>
      <c r="P7" s="2"/>
    </row>
    <row r="8" spans="1:17" s="2" customFormat="1" x14ac:dyDescent="0.35">
      <c r="C8" s="10"/>
      <c r="E8" s="28"/>
      <c r="F8" s="29"/>
      <c r="G8" s="24" t="s">
        <v>8</v>
      </c>
      <c r="H8" s="25">
        <f>SUMIFS($I$27:$I$492270,$E$27:$E$492270,2,$D$27:$D$492270,$H$6)</f>
        <v>0</v>
      </c>
      <c r="I8" s="30">
        <f>SUMIFS($I$27:$I$492270,$E$27:$E$492270,2,$D$27:$D$492270,$I$6)</f>
        <v>0</v>
      </c>
      <c r="J8" s="27">
        <f>SUMIFS($I$27:$I$492270,$E$27:$E$492270,2,$D$27:$D$492270,$J$6)</f>
        <v>0</v>
      </c>
      <c r="K8" s="27">
        <f>SUMIFS($I$27:$I$492270,$E$27:$E$492270,2,$D$27:$D$492270,$K$6)</f>
        <v>0</v>
      </c>
      <c r="L8" s="27">
        <f>SUMIFS($I$27:$I$492270,$E$27:$E$492270,2,$D$27:$D$492270,$L$6)</f>
        <v>0</v>
      </c>
      <c r="M8" s="27">
        <f>SUMIFS($I$27:$I$492270,$E$27:$E$492270,2,$D$27:$D$492270,$M$6)</f>
        <v>0</v>
      </c>
    </row>
    <row r="9" spans="1:17" s="2" customFormat="1" x14ac:dyDescent="0.35">
      <c r="E9" s="28"/>
      <c r="F9" s="29"/>
      <c r="G9" s="24" t="s">
        <v>9</v>
      </c>
      <c r="H9" s="25">
        <f>SUMIFS($I$27:$I$492270,$E$27:$E$492270,3,$D$27:$D$492270,$H$6)</f>
        <v>0</v>
      </c>
      <c r="I9" s="26">
        <f>SUMIFS($I$27:$I$492270,$E$27:$E$492270,3,$D$27:$D$492270,$I$6)</f>
        <v>0</v>
      </c>
      <c r="J9" s="27">
        <f>SUMIFS($I$27:$I$492270,$E$27:$E$492270,3,$D$27:$D$492270,$J$6)</f>
        <v>0</v>
      </c>
      <c r="K9" s="27">
        <f>SUMIFS($I$27:$I$492270,$E$27:$E$492270,3,$D$27:$D$492270,$K$6)</f>
        <v>0</v>
      </c>
      <c r="L9" s="27">
        <f>SUMIFS($I$27:$I$492270,$E$27:$E$492270,3,$D$27:$D$492270,$L$6)</f>
        <v>0</v>
      </c>
      <c r="M9" s="27">
        <f>SUMIFS($I$27:$I$492270,$E$27:$E$492270,3,$D$27:$D$492270,$M$6)</f>
        <v>0</v>
      </c>
    </row>
    <row r="10" spans="1:17" s="2" customFormat="1" x14ac:dyDescent="0.35">
      <c r="B10" s="4"/>
      <c r="C10" s="4"/>
      <c r="D10" s="4"/>
      <c r="E10" s="4"/>
      <c r="F10" s="3"/>
      <c r="G10" s="24" t="s">
        <v>10</v>
      </c>
      <c r="H10" s="25">
        <f>SUMIFS($I$27:$I$492270,$E$27:$E$492270,4,$D$27:$D$492270,$H$6)</f>
        <v>0</v>
      </c>
      <c r="I10" s="26">
        <f>SUMIFS($I$27:$I$492270,$E$27:$E$492270,4,$D$27:$D$492270,$I$6)</f>
        <v>0</v>
      </c>
      <c r="J10" s="27">
        <f>SUMIFS($I$27:$I$492270,$E$27:$E$492270,4,$D$27:$D$492270,$J$6)</f>
        <v>0</v>
      </c>
      <c r="K10" s="27">
        <f>SUMIFS($I$27:$I$492270,$E$27:$E$492270,4,$D$27:$D$492270,$K$6)</f>
        <v>0</v>
      </c>
      <c r="L10" s="27">
        <f>SUMIFS($I$27:$I$492270,$E$27:$E$492270,4,$D$27:$D$492270,$L$6)</f>
        <v>0</v>
      </c>
      <c r="M10" s="27">
        <f>SUMIFS($I$27:$I$492270,$E$27:$E$492270,4,$D$27:$D$492270,$M$6)</f>
        <v>0</v>
      </c>
    </row>
    <row r="11" spans="1:17" s="2" customFormat="1" x14ac:dyDescent="0.35">
      <c r="B11" s="4"/>
      <c r="C11" s="4"/>
      <c r="D11" s="4"/>
      <c r="E11" s="4"/>
      <c r="F11" s="3"/>
      <c r="G11" s="24" t="s">
        <v>11</v>
      </c>
      <c r="H11" s="25">
        <f>SUMIFS($I$27:$I$492270,$E$27:$E$492270,5,$D$27:$D$492270,$H$6)</f>
        <v>0</v>
      </c>
      <c r="I11" s="26">
        <f>SUMIFS($I$27:$I$492270,$E$27:$E$492270,5,$D$27:$D$492270,$I$6)</f>
        <v>0</v>
      </c>
      <c r="J11" s="27">
        <f>SUMIFS($I$27:$I$492270,$E$27:$E$492270,5,$D$27:$D$492270,$J$6)</f>
        <v>0</v>
      </c>
      <c r="K11" s="27">
        <f>SUMIFS($I$27:$I$492270,$E$27:$E$492270,5,$D$27:$D$492270,$K$6)</f>
        <v>0</v>
      </c>
      <c r="L11" s="27">
        <f>SUMIFS($I$27:$I$492270,$E$27:$E$492270,5,$D$27:$D$492270,$L$6)</f>
        <v>0</v>
      </c>
      <c r="M11" s="27">
        <f>SUMIFS($I$27:$I$492270,$E$27:$E$492270,5,$D$27:$D$492270,$M$6)</f>
        <v>0</v>
      </c>
    </row>
    <row r="12" spans="1:17" s="2" customFormat="1" x14ac:dyDescent="0.35">
      <c r="B12" s="4"/>
      <c r="C12" s="4"/>
      <c r="D12" s="4"/>
      <c r="E12" s="4"/>
      <c r="F12" s="3"/>
      <c r="H12" s="4"/>
      <c r="I12" s="6"/>
      <c r="J12" s="31"/>
      <c r="K12" s="31"/>
      <c r="L12" s="31"/>
      <c r="M12" s="31"/>
      <c r="N12" s="32"/>
      <c r="O12" s="32"/>
    </row>
    <row r="13" spans="1:17" x14ac:dyDescent="0.35">
      <c r="A13" s="7"/>
      <c r="B13" s="4"/>
      <c r="C13" s="4"/>
      <c r="D13" s="4"/>
      <c r="E13" s="4"/>
      <c r="F13" s="3"/>
      <c r="G13" s="2"/>
      <c r="H13" s="33">
        <f t="shared" ref="H13:M13" si="1">SUM(H15:H19)</f>
        <v>0</v>
      </c>
      <c r="I13" s="15">
        <f t="shared" si="1"/>
        <v>0</v>
      </c>
      <c r="J13" s="33">
        <f t="shared" si="1"/>
        <v>0</v>
      </c>
      <c r="K13" s="33">
        <f t="shared" si="1"/>
        <v>0</v>
      </c>
      <c r="L13" s="33">
        <f t="shared" si="1"/>
        <v>0</v>
      </c>
      <c r="M13" s="33">
        <f t="shared" si="1"/>
        <v>0</v>
      </c>
      <c r="O13" s="32"/>
      <c r="P13" s="2"/>
    </row>
    <row r="14" spans="1:17" s="2" customFormat="1" x14ac:dyDescent="0.35">
      <c r="B14" s="4"/>
      <c r="C14" s="4"/>
      <c r="D14" s="4"/>
      <c r="E14" s="4"/>
      <c r="F14" s="3"/>
      <c r="G14" s="20">
        <f>H13+I13+J13+K13+L13+M13</f>
        <v>0</v>
      </c>
      <c r="H14" s="21" t="s">
        <v>12</v>
      </c>
      <c r="I14" s="22" t="s">
        <v>13</v>
      </c>
      <c r="J14" s="23" t="s">
        <v>14</v>
      </c>
      <c r="K14" s="23" t="s">
        <v>15</v>
      </c>
      <c r="L14" s="23" t="s">
        <v>16</v>
      </c>
      <c r="M14" s="23" t="s">
        <v>17</v>
      </c>
      <c r="O14" s="32"/>
    </row>
    <row r="15" spans="1:17" x14ac:dyDescent="0.35">
      <c r="B15" s="4"/>
      <c r="C15" s="4"/>
      <c r="D15" s="4"/>
      <c r="E15" s="4"/>
      <c r="F15" s="3"/>
      <c r="G15" s="24" t="s">
        <v>7</v>
      </c>
      <c r="H15" s="25">
        <f>SUMIFS($I$27:$I$492270,$E$27:$E$492270,1,$D$27:$D$492270,$H$14)</f>
        <v>0</v>
      </c>
      <c r="I15" s="26">
        <f>SUMIFS($I$27:$I$492270,$E$27:$E$492270,1,$D$27:$D$492270,$I$14)</f>
        <v>0</v>
      </c>
      <c r="J15" s="27">
        <f>SUMIFS($I$27:$I$492270,$E$27:$E$492270,1,$D$27:$D$492270,$J$14)</f>
        <v>0</v>
      </c>
      <c r="K15" s="27">
        <f>SUMIFS($I$27:$I$492270,$E$27:$E$492270,1,$D$27:$D$492270,$K$14)</f>
        <v>0</v>
      </c>
      <c r="L15" s="27">
        <f>SUMIFS($I$27:$I$492270,$E$27:$E$492270,1,$D$27:$D$492270,$L$14)</f>
        <v>0</v>
      </c>
      <c r="M15" s="27">
        <f>SUMIFS($I$27:$I$492270,$E$27:$E$492270,1,$D$27:$D$492270,$M$14)</f>
        <v>0</v>
      </c>
      <c r="O15" s="32"/>
      <c r="P15" s="2"/>
    </row>
    <row r="16" spans="1:17" x14ac:dyDescent="0.35">
      <c r="B16" s="4"/>
      <c r="C16" s="4"/>
      <c r="D16" s="4"/>
      <c r="E16" s="4"/>
      <c r="F16" s="3"/>
      <c r="G16" s="24" t="s">
        <v>8</v>
      </c>
      <c r="H16" s="25">
        <f>SUMIFS($I$27:$I$492270,$E$27:$E$492270,2,$D$27:$D$492270,$H$14)</f>
        <v>0</v>
      </c>
      <c r="I16" s="26">
        <f>SUMIFS($I$27:$I$492270,$E$27:$E$492270,2,$D$27:$D$492270,$I$14)</f>
        <v>0</v>
      </c>
      <c r="J16" s="27">
        <f>SUMIFS($I$27:$I$492270,$E$27:$E$492270,2,$D$27:$D$492270,$J$14)</f>
        <v>0</v>
      </c>
      <c r="K16" s="27">
        <f>SUMIFS($I$27:$I$492270,$E$27:$E$492270,2,$D$27:$D$492270,$K$14)</f>
        <v>0</v>
      </c>
      <c r="L16" s="27">
        <f>SUMIFS($I$27:$I$492270,$E$27:$E$492270,2,$D$27:$D$492270,$L$14)</f>
        <v>0</v>
      </c>
      <c r="M16" s="27">
        <f>SUMIFS($I$27:$I$492270,$E$27:$E$492270,2,$D$27:$D$492270,$M$14)</f>
        <v>0</v>
      </c>
      <c r="O16" s="32"/>
      <c r="P16" s="2"/>
    </row>
    <row r="17" spans="2:16" x14ac:dyDescent="0.35">
      <c r="B17" s="4"/>
      <c r="C17" s="4"/>
      <c r="D17" s="4"/>
      <c r="E17" s="4"/>
      <c r="F17" s="3"/>
      <c r="G17" s="24" t="s">
        <v>9</v>
      </c>
      <c r="H17" s="25">
        <f>SUMIFS($I$27:$I$492270,$E$27:$E$492270,3,$D$27:$D$492270,$H$14)</f>
        <v>0</v>
      </c>
      <c r="I17" s="26">
        <f>SUMIFS($I$27:$I$492270,$E$27:$E$492270,3,$D$27:$D$492270,$I$14)</f>
        <v>0</v>
      </c>
      <c r="J17" s="27">
        <f>SUMIFS($I$27:$I$492270,$E$27:$E$492270,3,$D$27:$D$492270,$J$14)</f>
        <v>0</v>
      </c>
      <c r="K17" s="27">
        <f>SUMIFS($I$27:$I$492270,$E$27:$E$492270,3,$D$27:$D$492270,$K$14)</f>
        <v>0</v>
      </c>
      <c r="L17" s="27">
        <f>SUMIFS($I$27:$I$492270,$E$27:$E$492270,3,$D$27:$D$492270,$L$14)</f>
        <v>0</v>
      </c>
      <c r="M17" s="27">
        <f>SUMIFS($I$27:$I$492270,$E$27:$E$492270,3,$D$27:$D$492270,$M$14)</f>
        <v>0</v>
      </c>
      <c r="O17" s="32"/>
      <c r="P17" s="2"/>
    </row>
    <row r="18" spans="2:16" x14ac:dyDescent="0.35">
      <c r="B18" s="4"/>
      <c r="C18" s="4"/>
      <c r="D18" s="4"/>
      <c r="E18" s="4"/>
      <c r="F18" s="3"/>
      <c r="G18" s="24" t="s">
        <v>10</v>
      </c>
      <c r="H18" s="25">
        <f>SUMIFS($I$27:$I$492270,$E$27:$E$492270,4,$D$27:$D$492270,$H$14)</f>
        <v>0</v>
      </c>
      <c r="I18" s="26">
        <f>SUMIFS($I$27:$I$492270,$E$27:$E$492270,4,$D$27:$D$492270,$I$14)</f>
        <v>0</v>
      </c>
      <c r="J18" s="27">
        <f>SUMIFS($I$27:$I$492270,$E$27:$E$492270,4,$D$27:$D$492270,$J$14)</f>
        <v>0</v>
      </c>
      <c r="K18" s="27">
        <f>SUMIFS($I$27:$I$492270,$E$27:$E$492270,4,$D$27:$D$492270,$K$14)</f>
        <v>0</v>
      </c>
      <c r="L18" s="27">
        <f>SUMIFS($I$27:$I$492270,$E$27:$E$492270,4,$D$27:$D$492270,$L$14)</f>
        <v>0</v>
      </c>
      <c r="M18" s="27">
        <f>SUMIFS($I$27:$I$492270,$E$27:$E$492270,4,$D$27:$D$492270,$M$14)</f>
        <v>0</v>
      </c>
      <c r="O18" s="32"/>
      <c r="P18" s="2"/>
    </row>
    <row r="19" spans="2:16" x14ac:dyDescent="0.35">
      <c r="B19" s="4"/>
      <c r="C19" s="4"/>
      <c r="D19" s="4"/>
      <c r="E19" s="4"/>
      <c r="F19" s="3"/>
      <c r="G19" s="24" t="s">
        <v>11</v>
      </c>
      <c r="H19" s="25">
        <f>SUMIFS($I$27:$I$492270,$E$27:$E$492270,5,$D$27:$D$492270,$H$14)</f>
        <v>0</v>
      </c>
      <c r="I19" s="26">
        <f>SUMIFS($I$27:$I$492270,$E$27:$E$492270,5,$D$27:$D$492270,$I$14)</f>
        <v>0</v>
      </c>
      <c r="J19" s="27">
        <f>SUMIFS($I$27:$I$492270,$E$27:$E$492270,5,$D$27:$D$492270,$J$14)</f>
        <v>0</v>
      </c>
      <c r="K19" s="27">
        <f>SUMIFS($I$27:$I$492270,$E$27:$E$492270,5,$D$27:$D$492270,$K$14)</f>
        <v>0</v>
      </c>
      <c r="L19" s="27">
        <f>SUMIFS($I$27:$I$492270,$E$27:$E$492270,5,$D$27:$D$492270,$L$14)</f>
        <v>0</v>
      </c>
      <c r="M19" s="27">
        <f>SUMIFS($I$27:$I$492270,$E$27:$E$492270,5,$D$27:$D$492270,$M$14)</f>
        <v>0</v>
      </c>
      <c r="O19" s="32"/>
      <c r="P19" s="2"/>
    </row>
    <row r="20" spans="2:16" x14ac:dyDescent="0.35">
      <c r="C20" s="2"/>
      <c r="D20" s="2"/>
      <c r="E20" s="2"/>
      <c r="F20" s="3"/>
      <c r="G20" s="4"/>
      <c r="H20" s="34"/>
      <c r="I20" s="6"/>
      <c r="J20" s="2"/>
      <c r="K20" s="7"/>
      <c r="L20" s="7"/>
      <c r="M20" s="13"/>
      <c r="O20" s="2"/>
      <c r="P20" s="2"/>
    </row>
    <row r="21" spans="2:16" x14ac:dyDescent="0.35">
      <c r="C21" s="35" t="s">
        <v>18</v>
      </c>
      <c r="D21" s="2"/>
      <c r="E21" s="2"/>
      <c r="F21" s="3"/>
      <c r="G21" s="4"/>
      <c r="H21" s="5"/>
      <c r="I21" s="6"/>
      <c r="J21" s="2"/>
      <c r="K21" s="7"/>
      <c r="L21" s="1"/>
      <c r="M21" s="13"/>
      <c r="O21" s="32"/>
      <c r="P21" s="2"/>
    </row>
    <row r="22" spans="2:16" x14ac:dyDescent="0.35">
      <c r="C22" s="2"/>
      <c r="D22" s="2"/>
      <c r="E22" s="2"/>
      <c r="F22" s="3"/>
      <c r="G22" s="4"/>
      <c r="H22" s="5"/>
      <c r="I22" s="6"/>
      <c r="J22" s="2"/>
      <c r="K22" s="7"/>
      <c r="L22" s="1"/>
      <c r="M22" s="13"/>
      <c r="O22" s="2"/>
      <c r="P22" s="2"/>
    </row>
    <row r="23" spans="2:16" x14ac:dyDescent="0.35">
      <c r="C23" s="35" t="s">
        <v>19</v>
      </c>
      <c r="D23" s="36"/>
      <c r="E23" s="36"/>
      <c r="F23" s="3"/>
      <c r="G23" s="4"/>
      <c r="H23" s="5"/>
      <c r="I23" s="37" t="s">
        <v>20</v>
      </c>
      <c r="J23" s="38"/>
      <c r="K23" s="7"/>
      <c r="L23" s="1"/>
      <c r="M23" s="13"/>
      <c r="O23" s="2"/>
      <c r="P23" s="2"/>
    </row>
    <row r="24" spans="2:16" ht="16" thickBot="1" x14ac:dyDescent="0.4">
      <c r="C24" s="39" t="s">
        <v>21</v>
      </c>
      <c r="D24" s="40"/>
      <c r="E24" s="41"/>
      <c r="F24" s="42"/>
      <c r="G24" s="4"/>
      <c r="H24" s="5"/>
      <c r="I24" s="43">
        <f>SUBTOTAL(9,$I$27:$I$1574)</f>
        <v>0</v>
      </c>
      <c r="J24" s="44"/>
      <c r="K24" s="36"/>
      <c r="L24" s="10"/>
      <c r="M24" s="13"/>
      <c r="O24" s="2"/>
      <c r="P24" s="2"/>
    </row>
    <row r="25" spans="2:16" ht="12.75" customHeight="1" x14ac:dyDescent="0.35">
      <c r="B25" s="45"/>
      <c r="C25" s="46"/>
      <c r="D25" s="46"/>
      <c r="E25" s="46"/>
      <c r="F25" s="47"/>
      <c r="G25" s="48" t="s">
        <v>22</v>
      </c>
      <c r="H25" s="49"/>
      <c r="I25" s="134" t="s">
        <v>23</v>
      </c>
      <c r="J25" s="136" t="s">
        <v>24</v>
      </c>
      <c r="K25" s="50"/>
      <c r="L25" s="138" t="s">
        <v>25</v>
      </c>
      <c r="M25" s="140" t="s">
        <v>26</v>
      </c>
      <c r="N25" s="142" t="s">
        <v>27</v>
      </c>
      <c r="O25" s="2"/>
      <c r="P25" s="2"/>
    </row>
    <row r="26" spans="2:16" ht="16" thickBot="1" x14ac:dyDescent="0.4">
      <c r="B26" s="51" t="s">
        <v>28</v>
      </c>
      <c r="C26" s="52" t="s">
        <v>29</v>
      </c>
      <c r="D26" s="52" t="s">
        <v>30</v>
      </c>
      <c r="E26" s="53" t="s">
        <v>31</v>
      </c>
      <c r="F26" s="54"/>
      <c r="G26" s="55" t="s">
        <v>32</v>
      </c>
      <c r="H26" s="56" t="s">
        <v>33</v>
      </c>
      <c r="I26" s="135"/>
      <c r="J26" s="137"/>
      <c r="K26" s="57"/>
      <c r="L26" s="139"/>
      <c r="M26" s="141"/>
      <c r="N26" s="143"/>
      <c r="O26" s="35"/>
      <c r="P26" s="2"/>
    </row>
    <row r="27" spans="2:16" x14ac:dyDescent="0.35">
      <c r="B27" s="58"/>
      <c r="C27" s="59"/>
      <c r="D27" s="59"/>
      <c r="E27" s="60"/>
      <c r="F27" s="61"/>
      <c r="G27" s="62"/>
      <c r="H27" s="62"/>
      <c r="I27" s="63"/>
      <c r="J27" s="64"/>
      <c r="K27" s="65"/>
      <c r="L27" s="66"/>
      <c r="M27" s="67"/>
      <c r="N27" s="68"/>
      <c r="O27" s="2"/>
      <c r="P27" s="2"/>
    </row>
    <row r="28" spans="2:16" x14ac:dyDescent="0.35">
      <c r="B28" s="58"/>
      <c r="C28" s="59"/>
      <c r="D28" s="59"/>
      <c r="E28" s="60"/>
      <c r="F28" s="61"/>
      <c r="G28" s="62"/>
      <c r="H28" s="62"/>
      <c r="I28" s="69"/>
      <c r="J28" s="64"/>
      <c r="K28" s="65"/>
      <c r="L28" s="66"/>
      <c r="M28" s="67"/>
      <c r="N28" s="68"/>
      <c r="O28" s="2"/>
      <c r="P28" s="2"/>
    </row>
    <row r="29" spans="2:16" x14ac:dyDescent="0.35">
      <c r="B29" s="58"/>
      <c r="C29" s="59"/>
      <c r="D29" s="59"/>
      <c r="E29" s="60"/>
      <c r="F29" s="61"/>
      <c r="G29" s="62"/>
      <c r="H29" s="62"/>
      <c r="I29" s="63"/>
      <c r="J29" s="64"/>
      <c r="K29" s="65"/>
      <c r="L29" s="66"/>
      <c r="M29" s="67"/>
      <c r="N29" s="68"/>
      <c r="O29" s="2"/>
      <c r="P29" s="2"/>
    </row>
    <row r="30" spans="2:16" x14ac:dyDescent="0.35">
      <c r="B30" s="58"/>
      <c r="C30" s="59"/>
      <c r="D30" s="59"/>
      <c r="E30" s="60"/>
      <c r="F30" s="61"/>
      <c r="G30" s="62"/>
      <c r="H30" s="62"/>
      <c r="I30" s="69"/>
      <c r="J30" s="64"/>
      <c r="K30" s="65"/>
      <c r="L30" s="66"/>
      <c r="M30" s="67"/>
      <c r="N30" s="68"/>
      <c r="O30" s="2"/>
      <c r="P30" s="2"/>
    </row>
    <row r="31" spans="2:16" x14ac:dyDescent="0.35">
      <c r="B31" s="58"/>
      <c r="C31" s="59"/>
      <c r="D31" s="59"/>
      <c r="E31" s="60"/>
      <c r="F31" s="61"/>
      <c r="G31" s="62"/>
      <c r="H31" s="62"/>
      <c r="I31" s="63"/>
      <c r="J31" s="64"/>
      <c r="K31" s="65"/>
      <c r="L31" s="66"/>
      <c r="M31" s="67"/>
      <c r="N31" s="68"/>
      <c r="O31" s="2"/>
      <c r="P31" s="2"/>
    </row>
    <row r="32" spans="2:16" x14ac:dyDescent="0.35">
      <c r="B32" s="58"/>
      <c r="C32" s="59"/>
      <c r="D32" s="59"/>
      <c r="E32" s="60"/>
      <c r="F32" s="61"/>
      <c r="G32" s="62"/>
      <c r="H32" s="62"/>
      <c r="I32" s="69"/>
      <c r="J32" s="64"/>
      <c r="K32" s="65"/>
      <c r="L32" s="66"/>
      <c r="M32" s="67"/>
      <c r="N32" s="68"/>
      <c r="O32" s="2"/>
      <c r="P32" s="2"/>
    </row>
    <row r="33" spans="2:16" x14ac:dyDescent="0.35">
      <c r="B33" s="58"/>
      <c r="C33" s="59"/>
      <c r="D33" s="59"/>
      <c r="E33" s="60"/>
      <c r="F33" s="61"/>
      <c r="G33" s="62"/>
      <c r="H33" s="62"/>
      <c r="I33" s="63"/>
      <c r="J33" s="64"/>
      <c r="K33" s="65"/>
      <c r="L33" s="66"/>
      <c r="M33" s="67"/>
      <c r="N33" s="68"/>
      <c r="O33" s="2"/>
      <c r="P33" s="2"/>
    </row>
    <row r="34" spans="2:16" x14ac:dyDescent="0.35">
      <c r="B34" s="58"/>
      <c r="C34" s="59"/>
      <c r="D34" s="59"/>
      <c r="E34" s="60"/>
      <c r="F34" s="61"/>
      <c r="G34" s="62"/>
      <c r="H34" s="62"/>
      <c r="I34" s="69"/>
      <c r="J34" s="64"/>
      <c r="K34" s="65"/>
      <c r="L34" s="66"/>
      <c r="M34" s="67"/>
      <c r="N34" s="68"/>
      <c r="O34" s="2"/>
      <c r="P34" s="2"/>
    </row>
    <row r="35" spans="2:16" x14ac:dyDescent="0.35">
      <c r="B35" s="58"/>
      <c r="C35" s="59"/>
      <c r="D35" s="59"/>
      <c r="E35" s="60"/>
      <c r="F35" s="61"/>
      <c r="G35" s="62"/>
      <c r="H35" s="62"/>
      <c r="I35" s="63"/>
      <c r="J35" s="64"/>
      <c r="K35" s="65"/>
      <c r="L35" s="66"/>
      <c r="M35" s="67"/>
      <c r="N35" s="68"/>
      <c r="O35" s="2"/>
      <c r="P35" s="2"/>
    </row>
    <row r="36" spans="2:16" x14ac:dyDescent="0.35">
      <c r="B36" s="58"/>
      <c r="C36" s="59"/>
      <c r="D36" s="59"/>
      <c r="E36" s="60"/>
      <c r="F36" s="61"/>
      <c r="G36" s="62"/>
      <c r="H36" s="62"/>
      <c r="I36" s="69"/>
      <c r="J36" s="64"/>
      <c r="K36" s="65"/>
      <c r="L36" s="66"/>
      <c r="M36" s="67"/>
      <c r="N36" s="68"/>
      <c r="O36" s="2"/>
      <c r="P36" s="2"/>
    </row>
    <row r="37" spans="2:16" x14ac:dyDescent="0.35">
      <c r="B37" s="58"/>
      <c r="C37" s="59"/>
      <c r="D37" s="59"/>
      <c r="E37" s="60"/>
      <c r="F37" s="61"/>
      <c r="G37" s="62"/>
      <c r="H37" s="62"/>
      <c r="I37" s="63"/>
      <c r="J37" s="64"/>
      <c r="K37" s="65"/>
      <c r="L37" s="66"/>
      <c r="M37" s="67"/>
      <c r="N37" s="68"/>
      <c r="O37" s="2"/>
      <c r="P37" s="2"/>
    </row>
    <row r="38" spans="2:16" x14ac:dyDescent="0.35">
      <c r="B38" s="58"/>
      <c r="C38" s="59"/>
      <c r="D38" s="59"/>
      <c r="E38" s="60"/>
      <c r="F38" s="61"/>
      <c r="G38" s="62"/>
      <c r="H38" s="62"/>
      <c r="I38" s="69"/>
      <c r="J38" s="64"/>
      <c r="K38" s="65"/>
      <c r="L38" s="66"/>
      <c r="M38" s="67"/>
      <c r="N38" s="68"/>
      <c r="O38" s="2"/>
      <c r="P38" s="2"/>
    </row>
    <row r="39" spans="2:16" x14ac:dyDescent="0.35">
      <c r="B39" s="58"/>
      <c r="C39" s="59"/>
      <c r="D39" s="59"/>
      <c r="E39" s="60"/>
      <c r="F39" s="61"/>
      <c r="G39" s="62"/>
      <c r="H39" s="62"/>
      <c r="I39" s="63"/>
      <c r="J39" s="64"/>
      <c r="K39" s="65"/>
      <c r="L39" s="66"/>
      <c r="M39" s="67"/>
      <c r="N39" s="68"/>
      <c r="O39" s="2"/>
      <c r="P39" s="2"/>
    </row>
    <row r="40" spans="2:16" x14ac:dyDescent="0.35">
      <c r="B40" s="58"/>
      <c r="C40" s="59"/>
      <c r="D40" s="59"/>
      <c r="E40" s="60"/>
      <c r="F40" s="61"/>
      <c r="G40" s="62"/>
      <c r="H40" s="62"/>
      <c r="I40" s="69"/>
      <c r="J40" s="64"/>
      <c r="K40" s="65"/>
      <c r="L40" s="66"/>
      <c r="M40" s="67"/>
      <c r="N40" s="68"/>
      <c r="O40" s="2"/>
      <c r="P40" s="2"/>
    </row>
    <row r="41" spans="2:16" x14ac:dyDescent="0.35">
      <c r="B41" s="58"/>
      <c r="C41" s="59"/>
      <c r="D41" s="59"/>
      <c r="E41" s="60"/>
      <c r="F41" s="61"/>
      <c r="G41" s="62"/>
      <c r="H41" s="62"/>
      <c r="I41" s="63"/>
      <c r="J41" s="64"/>
      <c r="K41" s="65"/>
      <c r="L41" s="66"/>
      <c r="M41" s="67"/>
      <c r="N41" s="68"/>
      <c r="O41" s="2"/>
      <c r="P41" s="2"/>
    </row>
    <row r="42" spans="2:16" x14ac:dyDescent="0.35">
      <c r="B42" s="58"/>
      <c r="C42" s="59"/>
      <c r="D42" s="59"/>
      <c r="E42" s="60"/>
      <c r="F42" s="61"/>
      <c r="G42" s="62"/>
      <c r="H42" s="62"/>
      <c r="I42" s="69"/>
      <c r="J42" s="64"/>
      <c r="K42" s="65"/>
      <c r="L42" s="66"/>
      <c r="M42" s="67"/>
      <c r="N42" s="68"/>
      <c r="O42" s="2"/>
      <c r="P42" s="2"/>
    </row>
    <row r="43" spans="2:16" x14ac:dyDescent="0.35">
      <c r="B43" s="58"/>
      <c r="C43" s="59"/>
      <c r="D43" s="59"/>
      <c r="E43" s="60"/>
      <c r="F43" s="61"/>
      <c r="G43" s="62"/>
      <c r="H43" s="62"/>
      <c r="I43" s="63"/>
      <c r="J43" s="64"/>
      <c r="K43" s="65"/>
      <c r="L43" s="66"/>
      <c r="M43" s="67"/>
      <c r="N43" s="68"/>
      <c r="O43" s="2"/>
      <c r="P43" s="2"/>
    </row>
    <row r="44" spans="2:16" x14ac:dyDescent="0.35">
      <c r="B44" s="58"/>
      <c r="C44" s="59"/>
      <c r="D44" s="59"/>
      <c r="E44" s="60"/>
      <c r="F44" s="61"/>
      <c r="G44" s="62"/>
      <c r="H44" s="62"/>
      <c r="I44" s="69"/>
      <c r="J44" s="64"/>
      <c r="K44" s="65"/>
      <c r="L44" s="66"/>
      <c r="M44" s="67"/>
      <c r="N44" s="68"/>
      <c r="O44" s="2"/>
      <c r="P44" s="2"/>
    </row>
    <row r="45" spans="2:16" x14ac:dyDescent="0.35">
      <c r="B45" s="58"/>
      <c r="C45" s="59"/>
      <c r="D45" s="59"/>
      <c r="E45" s="60"/>
      <c r="F45" s="61"/>
      <c r="G45" s="62"/>
      <c r="H45" s="62"/>
      <c r="I45" s="63"/>
      <c r="J45" s="64"/>
      <c r="K45" s="65"/>
      <c r="L45" s="66"/>
      <c r="M45" s="67"/>
      <c r="N45" s="68"/>
      <c r="O45" s="2"/>
      <c r="P45" s="2"/>
    </row>
    <row r="46" spans="2:16" x14ac:dyDescent="0.35">
      <c r="B46" s="58"/>
      <c r="C46" s="59"/>
      <c r="D46" s="59"/>
      <c r="E46" s="60"/>
      <c r="F46" s="61"/>
      <c r="G46" s="62"/>
      <c r="H46" s="62"/>
      <c r="I46" s="69"/>
      <c r="J46" s="64"/>
      <c r="K46" s="65"/>
      <c r="L46" s="66"/>
      <c r="M46" s="67"/>
      <c r="N46" s="68"/>
      <c r="O46" s="2"/>
      <c r="P46" s="2"/>
    </row>
    <row r="47" spans="2:16" x14ac:dyDescent="0.35">
      <c r="B47" s="58"/>
      <c r="C47" s="59"/>
      <c r="D47" s="59"/>
      <c r="E47" s="60"/>
      <c r="F47" s="61"/>
      <c r="G47" s="62"/>
      <c r="H47" s="62"/>
      <c r="I47" s="63"/>
      <c r="J47" s="64"/>
      <c r="K47" s="65"/>
      <c r="L47" s="66"/>
      <c r="M47" s="67"/>
      <c r="N47" s="68"/>
      <c r="O47" s="2"/>
      <c r="P47" s="2"/>
    </row>
    <row r="48" spans="2:16" x14ac:dyDescent="0.35">
      <c r="B48" s="58"/>
      <c r="C48" s="59"/>
      <c r="D48" s="59"/>
      <c r="E48" s="60"/>
      <c r="F48" s="61"/>
      <c r="G48" s="62"/>
      <c r="H48" s="62"/>
      <c r="I48" s="69"/>
      <c r="J48" s="64"/>
      <c r="K48" s="65"/>
      <c r="L48" s="66"/>
      <c r="M48" s="67"/>
      <c r="N48" s="68"/>
      <c r="O48" s="2"/>
      <c r="P48" s="2"/>
    </row>
    <row r="49" spans="2:16" x14ac:dyDescent="0.35">
      <c r="B49" s="58"/>
      <c r="C49" s="59"/>
      <c r="D49" s="59"/>
      <c r="E49" s="60"/>
      <c r="F49" s="61"/>
      <c r="G49" s="62"/>
      <c r="H49" s="62"/>
      <c r="I49" s="63"/>
      <c r="J49" s="64"/>
      <c r="K49" s="65"/>
      <c r="L49" s="66"/>
      <c r="M49" s="67"/>
      <c r="N49" s="68"/>
      <c r="O49" s="2"/>
      <c r="P49" s="2"/>
    </row>
    <row r="50" spans="2:16" x14ac:dyDescent="0.35">
      <c r="B50" s="58"/>
      <c r="C50" s="59"/>
      <c r="D50" s="59"/>
      <c r="E50" s="60"/>
      <c r="F50" s="61"/>
      <c r="G50" s="62"/>
      <c r="H50" s="62"/>
      <c r="I50" s="69"/>
      <c r="J50" s="64"/>
      <c r="K50" s="65"/>
      <c r="L50" s="66"/>
      <c r="M50" s="67"/>
      <c r="N50" s="68"/>
      <c r="O50" s="2"/>
      <c r="P50" s="2"/>
    </row>
    <row r="51" spans="2:16" x14ac:dyDescent="0.35">
      <c r="B51" s="58"/>
      <c r="C51" s="59"/>
      <c r="D51" s="59"/>
      <c r="E51" s="60"/>
      <c r="F51" s="61"/>
      <c r="G51" s="62"/>
      <c r="H51" s="62"/>
      <c r="I51" s="63"/>
      <c r="J51" s="64"/>
      <c r="K51" s="65"/>
      <c r="L51" s="66"/>
      <c r="M51" s="67"/>
      <c r="N51" s="68"/>
      <c r="O51" s="2"/>
      <c r="P51" s="2"/>
    </row>
    <row r="52" spans="2:16" x14ac:dyDescent="0.35">
      <c r="B52" s="58"/>
      <c r="C52" s="59"/>
      <c r="D52" s="59"/>
      <c r="E52" s="60"/>
      <c r="F52" s="61"/>
      <c r="G52" s="62"/>
      <c r="H52" s="62"/>
      <c r="I52" s="69"/>
      <c r="J52" s="64"/>
      <c r="K52" s="65"/>
      <c r="L52" s="66"/>
      <c r="M52" s="67"/>
      <c r="N52" s="68"/>
      <c r="O52" s="2"/>
      <c r="P52" s="2"/>
    </row>
    <row r="53" spans="2:16" x14ac:dyDescent="0.35">
      <c r="B53" s="58"/>
      <c r="C53" s="59"/>
      <c r="D53" s="59"/>
      <c r="E53" s="60"/>
      <c r="F53" s="61"/>
      <c r="G53" s="62"/>
      <c r="H53" s="62"/>
      <c r="I53" s="63"/>
      <c r="J53" s="64"/>
      <c r="K53" s="65"/>
      <c r="L53" s="66"/>
      <c r="M53" s="67"/>
      <c r="N53" s="68"/>
      <c r="O53" s="2"/>
      <c r="P53" s="2"/>
    </row>
    <row r="54" spans="2:16" x14ac:dyDescent="0.35">
      <c r="B54" s="58"/>
      <c r="C54" s="59"/>
      <c r="D54" s="59"/>
      <c r="E54" s="60"/>
      <c r="F54" s="61"/>
      <c r="G54" s="62"/>
      <c r="H54" s="62"/>
      <c r="I54" s="69"/>
      <c r="J54" s="64"/>
      <c r="K54" s="65"/>
      <c r="L54" s="66"/>
      <c r="M54" s="67"/>
      <c r="N54" s="68"/>
      <c r="O54" s="2"/>
      <c r="P54" s="2"/>
    </row>
    <row r="55" spans="2:16" x14ac:dyDescent="0.35">
      <c r="B55" s="58"/>
      <c r="C55" s="59"/>
      <c r="D55" s="59"/>
      <c r="E55" s="60"/>
      <c r="F55" s="61"/>
      <c r="G55" s="62"/>
      <c r="H55" s="62"/>
      <c r="I55" s="63"/>
      <c r="J55" s="64"/>
      <c r="K55" s="65"/>
      <c r="L55" s="66"/>
      <c r="M55" s="67"/>
      <c r="N55" s="68"/>
      <c r="O55" s="2"/>
      <c r="P55" s="2"/>
    </row>
    <row r="56" spans="2:16" x14ac:dyDescent="0.35">
      <c r="B56" s="58"/>
      <c r="C56" s="59"/>
      <c r="D56" s="59"/>
      <c r="E56" s="60"/>
      <c r="F56" s="61"/>
      <c r="G56" s="62"/>
      <c r="H56" s="62"/>
      <c r="I56" s="69"/>
      <c r="J56" s="64"/>
      <c r="K56" s="65"/>
      <c r="L56" s="66"/>
      <c r="M56" s="67"/>
      <c r="N56" s="68"/>
      <c r="O56" s="2"/>
      <c r="P56" s="2"/>
    </row>
    <row r="57" spans="2:16" x14ac:dyDescent="0.35">
      <c r="B57" s="58"/>
      <c r="C57" s="59"/>
      <c r="D57" s="59"/>
      <c r="E57" s="60"/>
      <c r="F57" s="61"/>
      <c r="G57" s="62"/>
      <c r="H57" s="62"/>
      <c r="I57" s="63"/>
      <c r="J57" s="64"/>
      <c r="K57" s="70"/>
      <c r="L57" s="66"/>
      <c r="M57" s="67"/>
      <c r="N57" s="68"/>
      <c r="O57" s="2"/>
      <c r="P57" s="2"/>
    </row>
    <row r="58" spans="2:16" x14ac:dyDescent="0.35">
      <c r="B58" s="58"/>
      <c r="C58" s="59"/>
      <c r="D58" s="59"/>
      <c r="E58" s="60"/>
      <c r="F58" s="61"/>
      <c r="G58" s="62"/>
      <c r="H58" s="62"/>
      <c r="I58" s="69"/>
      <c r="J58" s="64"/>
      <c r="K58" s="70"/>
      <c r="L58" s="66"/>
      <c r="M58" s="67"/>
      <c r="N58" s="68"/>
      <c r="O58" s="2"/>
      <c r="P58" s="2"/>
    </row>
    <row r="59" spans="2:16" x14ac:dyDescent="0.35">
      <c r="B59" s="58"/>
      <c r="C59" s="59"/>
      <c r="D59" s="59"/>
      <c r="E59" s="60"/>
      <c r="F59" s="61"/>
      <c r="G59" s="62"/>
      <c r="H59" s="62"/>
      <c r="I59" s="63"/>
      <c r="J59" s="64"/>
      <c r="K59" s="65"/>
      <c r="L59" s="66"/>
      <c r="M59" s="67"/>
      <c r="N59" s="68"/>
      <c r="O59" s="2"/>
      <c r="P59" s="2"/>
    </row>
    <row r="60" spans="2:16" x14ac:dyDescent="0.35">
      <c r="B60" s="58"/>
      <c r="C60" s="59"/>
      <c r="D60" s="59"/>
      <c r="E60" s="60"/>
      <c r="F60" s="61"/>
      <c r="G60" s="62"/>
      <c r="H60" s="62"/>
      <c r="I60" s="69"/>
      <c r="J60" s="64"/>
      <c r="K60" s="65"/>
      <c r="L60" s="66"/>
      <c r="M60" s="67"/>
      <c r="N60" s="68"/>
      <c r="O60" s="2"/>
      <c r="P60" s="2"/>
    </row>
    <row r="61" spans="2:16" x14ac:dyDescent="0.35">
      <c r="B61" s="58"/>
      <c r="C61" s="59"/>
      <c r="D61" s="59"/>
      <c r="E61" s="60"/>
      <c r="F61" s="61"/>
      <c r="G61" s="62"/>
      <c r="H61" s="62"/>
      <c r="I61" s="63"/>
      <c r="J61" s="64"/>
      <c r="K61" s="65"/>
      <c r="L61" s="66"/>
      <c r="M61" s="67"/>
      <c r="N61" s="68"/>
      <c r="O61" s="2"/>
      <c r="P61" s="2"/>
    </row>
    <row r="62" spans="2:16" x14ac:dyDescent="0.35">
      <c r="B62" s="58"/>
      <c r="C62" s="59"/>
      <c r="D62" s="59"/>
      <c r="E62" s="60"/>
      <c r="F62" s="61"/>
      <c r="G62" s="62"/>
      <c r="H62" s="62"/>
      <c r="I62" s="69"/>
      <c r="J62" s="64"/>
      <c r="K62" s="65"/>
      <c r="L62" s="66"/>
      <c r="M62" s="67"/>
      <c r="N62" s="68"/>
      <c r="O62" s="2"/>
      <c r="P62" s="2"/>
    </row>
    <row r="63" spans="2:16" x14ac:dyDescent="0.35">
      <c r="B63" s="58"/>
      <c r="C63" s="59"/>
      <c r="D63" s="59"/>
      <c r="E63" s="60"/>
      <c r="F63" s="61"/>
      <c r="G63" s="62"/>
      <c r="H63" s="62"/>
      <c r="I63" s="63"/>
      <c r="J63" s="64"/>
      <c r="K63" s="70"/>
      <c r="L63" s="66"/>
      <c r="M63" s="67"/>
      <c r="N63" s="68"/>
      <c r="O63" s="2"/>
      <c r="P63" s="2"/>
    </row>
    <row r="64" spans="2:16" x14ac:dyDescent="0.35">
      <c r="B64" s="58"/>
      <c r="C64" s="59"/>
      <c r="D64" s="59"/>
      <c r="E64" s="60"/>
      <c r="F64" s="61"/>
      <c r="G64" s="62"/>
      <c r="H64" s="62"/>
      <c r="I64" s="63"/>
      <c r="J64" s="64"/>
      <c r="K64" s="70"/>
      <c r="L64" s="66"/>
      <c r="M64" s="67"/>
      <c r="N64" s="68"/>
      <c r="O64" s="2"/>
      <c r="P64" s="2"/>
    </row>
    <row r="65" spans="2:21" x14ac:dyDescent="0.35">
      <c r="B65" s="58"/>
      <c r="C65" s="59"/>
      <c r="D65" s="59"/>
      <c r="E65" s="60"/>
      <c r="F65" s="61"/>
      <c r="G65" s="62"/>
      <c r="H65" s="62"/>
      <c r="I65" s="69"/>
      <c r="J65" s="64"/>
      <c r="K65" s="65"/>
      <c r="L65" s="66"/>
      <c r="M65" s="67"/>
      <c r="N65" s="68"/>
      <c r="O65" s="2"/>
      <c r="P65" s="2"/>
    </row>
    <row r="66" spans="2:21" ht="15.75" customHeight="1" x14ac:dyDescent="0.35">
      <c r="B66" s="58"/>
      <c r="C66" s="59"/>
      <c r="D66" s="59"/>
      <c r="E66" s="60"/>
      <c r="F66" s="61"/>
      <c r="G66" s="62"/>
      <c r="H66" s="62"/>
      <c r="I66" s="63"/>
      <c r="J66" s="64"/>
      <c r="K66" s="65"/>
      <c r="L66" s="66"/>
      <c r="M66" s="67"/>
      <c r="N66" s="68"/>
      <c r="O66" s="2"/>
      <c r="P66" s="2"/>
    </row>
    <row r="67" spans="2:21" ht="15.75" customHeight="1" x14ac:dyDescent="0.35">
      <c r="B67" s="58"/>
      <c r="C67" s="59"/>
      <c r="D67" s="59"/>
      <c r="E67" s="60"/>
      <c r="F67" s="61"/>
      <c r="G67" s="62"/>
      <c r="H67" s="62"/>
      <c r="I67" s="69"/>
      <c r="J67" s="64"/>
      <c r="K67" s="65"/>
      <c r="L67" s="66"/>
      <c r="M67" s="67"/>
      <c r="N67" s="68"/>
      <c r="O67" s="2"/>
      <c r="P67" s="2"/>
    </row>
    <row r="68" spans="2:21" ht="15.75" customHeight="1" x14ac:dyDescent="0.35">
      <c r="B68" s="58"/>
      <c r="C68" s="59"/>
      <c r="D68" s="59"/>
      <c r="E68" s="60"/>
      <c r="F68" s="61"/>
      <c r="G68" s="62"/>
      <c r="H68" s="62"/>
      <c r="I68" s="63"/>
      <c r="J68" s="64"/>
      <c r="K68" s="65"/>
      <c r="L68" s="66"/>
      <c r="M68" s="67"/>
      <c r="N68" s="68"/>
      <c r="O68" s="2"/>
      <c r="P68" s="2"/>
    </row>
    <row r="69" spans="2:21" x14ac:dyDescent="0.35">
      <c r="B69" s="58"/>
      <c r="C69" s="59"/>
      <c r="D69" s="59"/>
      <c r="E69" s="60"/>
      <c r="F69" s="61"/>
      <c r="G69" s="62"/>
      <c r="H69" s="62"/>
      <c r="I69" s="69"/>
      <c r="J69" s="64"/>
      <c r="K69" s="65"/>
      <c r="L69" s="66"/>
      <c r="M69" s="67"/>
      <c r="N69" s="68"/>
      <c r="O69" s="2"/>
      <c r="P69" s="2"/>
    </row>
    <row r="70" spans="2:21" x14ac:dyDescent="0.35">
      <c r="B70" s="58"/>
      <c r="C70" s="59"/>
      <c r="D70" s="59"/>
      <c r="E70" s="60"/>
      <c r="F70" s="61"/>
      <c r="G70" s="62"/>
      <c r="H70" s="62"/>
      <c r="I70" s="63"/>
      <c r="J70" s="64"/>
      <c r="K70" s="65"/>
      <c r="L70" s="66"/>
      <c r="M70" s="67"/>
      <c r="N70" s="68"/>
      <c r="O70" s="2"/>
      <c r="P70" s="2"/>
    </row>
    <row r="71" spans="2:21" x14ac:dyDescent="0.35">
      <c r="B71" s="58"/>
      <c r="C71" s="59"/>
      <c r="D71" s="59"/>
      <c r="E71" s="60"/>
      <c r="F71" s="61"/>
      <c r="G71" s="62"/>
      <c r="H71" s="62"/>
      <c r="I71" s="69"/>
      <c r="J71" s="64"/>
      <c r="K71" s="65"/>
      <c r="L71" s="66"/>
      <c r="M71" s="67"/>
      <c r="N71" s="68"/>
      <c r="O71" s="2"/>
      <c r="P71" s="2"/>
    </row>
    <row r="72" spans="2:21" x14ac:dyDescent="0.35">
      <c r="B72" s="58"/>
      <c r="C72" s="59"/>
      <c r="D72" s="59"/>
      <c r="E72" s="60"/>
      <c r="F72" s="61"/>
      <c r="G72" s="62"/>
      <c r="H72" s="62"/>
      <c r="I72" s="63"/>
      <c r="J72" s="64"/>
      <c r="K72" s="65"/>
      <c r="L72" s="66"/>
      <c r="M72" s="67"/>
      <c r="N72" s="68"/>
      <c r="O72" s="2"/>
      <c r="P72" s="2"/>
    </row>
    <row r="73" spans="2:21" x14ac:dyDescent="0.35">
      <c r="B73" s="58"/>
      <c r="C73" s="59"/>
      <c r="D73" s="59"/>
      <c r="E73" s="60"/>
      <c r="F73" s="61"/>
      <c r="G73" s="62"/>
      <c r="H73" s="62"/>
      <c r="I73" s="69"/>
      <c r="J73" s="64"/>
      <c r="K73" s="65"/>
      <c r="L73" s="66"/>
      <c r="M73" s="67"/>
      <c r="N73" s="68"/>
      <c r="O73" s="2"/>
      <c r="P73" s="2"/>
    </row>
    <row r="74" spans="2:21" ht="15.75" customHeight="1" x14ac:dyDescent="0.35">
      <c r="B74" s="58"/>
      <c r="C74" s="59"/>
      <c r="D74" s="59"/>
      <c r="E74" s="60"/>
      <c r="F74" s="61"/>
      <c r="G74" s="62"/>
      <c r="H74" s="62"/>
      <c r="I74" s="63"/>
      <c r="J74" s="64"/>
      <c r="K74" s="65"/>
      <c r="L74" s="66"/>
      <c r="M74" s="67"/>
      <c r="N74" s="68"/>
      <c r="O74" s="2"/>
      <c r="P74" s="2"/>
    </row>
    <row r="75" spans="2:21" s="2" customFormat="1" x14ac:dyDescent="0.35">
      <c r="B75" s="58"/>
      <c r="C75" s="59"/>
      <c r="D75" s="59"/>
      <c r="E75" s="60"/>
      <c r="F75" s="61"/>
      <c r="G75" s="62"/>
      <c r="H75" s="62"/>
      <c r="I75" s="69"/>
      <c r="J75" s="64"/>
      <c r="K75" s="70"/>
      <c r="L75" s="66"/>
      <c r="M75" s="67"/>
      <c r="N75" s="68"/>
      <c r="Q75" s="9"/>
      <c r="R75" s="9"/>
      <c r="S75" s="9"/>
      <c r="T75" s="9"/>
      <c r="U75" s="9"/>
    </row>
    <row r="76" spans="2:21" s="2" customFormat="1" x14ac:dyDescent="0.35">
      <c r="B76" s="58"/>
      <c r="C76" s="59"/>
      <c r="D76" s="59"/>
      <c r="E76" s="60"/>
      <c r="F76" s="61"/>
      <c r="G76" s="62"/>
      <c r="H76" s="62"/>
      <c r="I76" s="63"/>
      <c r="J76" s="64"/>
      <c r="K76" s="65"/>
      <c r="L76" s="66"/>
      <c r="M76" s="67"/>
      <c r="N76" s="68"/>
      <c r="Q76" s="9"/>
      <c r="R76" s="9"/>
      <c r="S76" s="9"/>
      <c r="T76" s="9"/>
      <c r="U76" s="9"/>
    </row>
    <row r="77" spans="2:21" s="2" customFormat="1" x14ac:dyDescent="0.35">
      <c r="B77" s="58"/>
      <c r="C77" s="59"/>
      <c r="D77" s="59"/>
      <c r="E77" s="60"/>
      <c r="F77" s="61"/>
      <c r="G77" s="62"/>
      <c r="H77" s="62"/>
      <c r="I77" s="69"/>
      <c r="J77" s="64"/>
      <c r="K77" s="70"/>
      <c r="L77" s="66"/>
      <c r="M77" s="67"/>
      <c r="N77" s="68"/>
      <c r="Q77" s="9"/>
      <c r="R77" s="9"/>
      <c r="S77" s="9"/>
      <c r="T77" s="9"/>
      <c r="U77" s="9"/>
    </row>
    <row r="78" spans="2:21" s="2" customFormat="1" x14ac:dyDescent="0.35">
      <c r="B78" s="58"/>
      <c r="C78" s="59"/>
      <c r="D78" s="59"/>
      <c r="E78" s="60"/>
      <c r="F78" s="61"/>
      <c r="G78" s="62"/>
      <c r="H78" s="62"/>
      <c r="I78" s="63"/>
      <c r="J78" s="64"/>
      <c r="K78" s="70"/>
      <c r="L78" s="66"/>
      <c r="M78" s="67"/>
      <c r="N78" s="68"/>
      <c r="Q78" s="9"/>
      <c r="R78" s="9"/>
      <c r="S78" s="9"/>
      <c r="T78" s="9"/>
      <c r="U78" s="9"/>
    </row>
    <row r="79" spans="2:21" s="2" customFormat="1" x14ac:dyDescent="0.35">
      <c r="B79" s="58"/>
      <c r="C79" s="59"/>
      <c r="D79" s="59"/>
      <c r="E79" s="60"/>
      <c r="F79" s="61"/>
      <c r="G79" s="62"/>
      <c r="H79" s="62"/>
      <c r="I79" s="63"/>
      <c r="J79" s="64"/>
      <c r="K79" s="65"/>
      <c r="L79" s="66"/>
      <c r="M79" s="67"/>
      <c r="N79" s="68"/>
      <c r="Q79" s="9"/>
      <c r="R79" s="9"/>
      <c r="S79" s="9"/>
      <c r="T79" s="9"/>
      <c r="U79" s="9"/>
    </row>
    <row r="80" spans="2:21" s="2" customFormat="1" x14ac:dyDescent="0.35">
      <c r="B80" s="58"/>
      <c r="C80" s="59"/>
      <c r="D80" s="59"/>
      <c r="E80" s="60"/>
      <c r="F80" s="61"/>
      <c r="G80" s="62"/>
      <c r="H80" s="62"/>
      <c r="I80" s="69"/>
      <c r="J80" s="64"/>
      <c r="K80" s="65"/>
      <c r="L80" s="66"/>
      <c r="M80" s="67"/>
      <c r="N80" s="68"/>
      <c r="Q80" s="9"/>
      <c r="R80" s="9"/>
      <c r="S80" s="9"/>
      <c r="T80" s="9"/>
      <c r="U80" s="9"/>
    </row>
    <row r="81" spans="2:21" s="2" customFormat="1" x14ac:dyDescent="0.35">
      <c r="B81" s="58"/>
      <c r="C81" s="59"/>
      <c r="D81" s="59"/>
      <c r="E81" s="60"/>
      <c r="F81" s="61"/>
      <c r="G81" s="62"/>
      <c r="H81" s="62"/>
      <c r="I81" s="63"/>
      <c r="J81" s="64"/>
      <c r="K81" s="65"/>
      <c r="L81" s="66"/>
      <c r="M81" s="67"/>
      <c r="N81" s="68"/>
      <c r="Q81" s="9"/>
      <c r="R81" s="9"/>
      <c r="S81" s="9"/>
      <c r="T81" s="9"/>
      <c r="U81" s="9"/>
    </row>
    <row r="82" spans="2:21" s="2" customFormat="1" x14ac:dyDescent="0.35">
      <c r="B82" s="58"/>
      <c r="C82" s="59"/>
      <c r="D82" s="59"/>
      <c r="E82" s="60"/>
      <c r="F82" s="61"/>
      <c r="G82" s="62"/>
      <c r="H82" s="62"/>
      <c r="I82" s="69"/>
      <c r="J82" s="64"/>
      <c r="K82" s="65"/>
      <c r="L82" s="66"/>
      <c r="M82" s="67"/>
      <c r="N82" s="68"/>
      <c r="Q82" s="9"/>
      <c r="R82" s="9"/>
      <c r="S82" s="9"/>
      <c r="T82" s="9"/>
      <c r="U82" s="9"/>
    </row>
    <row r="83" spans="2:21" s="2" customFormat="1" x14ac:dyDescent="0.35">
      <c r="B83" s="58"/>
      <c r="C83" s="59"/>
      <c r="D83" s="59"/>
      <c r="E83" s="60"/>
      <c r="F83" s="61"/>
      <c r="G83" s="62"/>
      <c r="H83"/>
      <c r="I83" s="71"/>
      <c r="J83" s="64"/>
      <c r="K83" s="65"/>
      <c r="L83" s="66"/>
      <c r="M83" s="67"/>
      <c r="N83" s="68"/>
      <c r="Q83" s="9"/>
      <c r="R83" s="9"/>
      <c r="S83" s="9"/>
      <c r="T83" s="9"/>
      <c r="U83" s="9"/>
    </row>
    <row r="84" spans="2:21" s="2" customFormat="1" x14ac:dyDescent="0.35">
      <c r="B84" s="58"/>
      <c r="C84" s="59"/>
      <c r="D84" s="59"/>
      <c r="E84" s="60"/>
      <c r="F84" s="61"/>
      <c r="G84" s="62"/>
      <c r="H84"/>
      <c r="I84" s="72"/>
      <c r="J84" s="64"/>
      <c r="K84" s="65"/>
      <c r="L84" s="66"/>
      <c r="M84" s="67"/>
      <c r="N84" s="68"/>
      <c r="Q84" s="9"/>
      <c r="R84" s="9"/>
      <c r="S84" s="9"/>
      <c r="T84" s="9"/>
      <c r="U84" s="9"/>
    </row>
    <row r="85" spans="2:21" s="2" customFormat="1" x14ac:dyDescent="0.35">
      <c r="B85" s="58"/>
      <c r="C85" s="59"/>
      <c r="D85" s="59"/>
      <c r="E85" s="60"/>
      <c r="F85" s="61"/>
      <c r="G85" s="62"/>
      <c r="H85"/>
      <c r="I85" s="71"/>
      <c r="J85" s="64"/>
      <c r="K85" s="65"/>
      <c r="L85" s="66"/>
      <c r="M85" s="67"/>
      <c r="N85" s="68"/>
      <c r="Q85" s="9"/>
      <c r="R85" s="9"/>
      <c r="S85" s="9"/>
      <c r="T85" s="9"/>
      <c r="U85" s="9"/>
    </row>
    <row r="86" spans="2:21" s="2" customFormat="1" x14ac:dyDescent="0.35">
      <c r="B86" s="58"/>
      <c r="C86" s="59"/>
      <c r="D86" s="59"/>
      <c r="E86" s="60"/>
      <c r="F86" s="61"/>
      <c r="G86" s="62"/>
      <c r="H86"/>
      <c r="I86" s="72"/>
      <c r="J86" s="64"/>
      <c r="K86" s="65"/>
      <c r="L86" s="66"/>
      <c r="M86" s="67"/>
      <c r="N86" s="68"/>
      <c r="Q86" s="9"/>
      <c r="R86" s="9"/>
      <c r="S86" s="9"/>
      <c r="T86" s="9"/>
      <c r="U86" s="9"/>
    </row>
    <row r="87" spans="2:21" s="2" customFormat="1" x14ac:dyDescent="0.35">
      <c r="B87" s="58"/>
      <c r="C87" s="59"/>
      <c r="D87" s="59"/>
      <c r="E87" s="60"/>
      <c r="F87" s="61"/>
      <c r="G87" s="62"/>
      <c r="H87"/>
      <c r="I87" s="71"/>
      <c r="J87" s="64"/>
      <c r="K87" s="65"/>
      <c r="L87" s="66"/>
      <c r="M87" s="67"/>
      <c r="N87" s="68"/>
      <c r="Q87" s="9"/>
      <c r="R87" s="9"/>
      <c r="S87" s="9"/>
      <c r="T87" s="9"/>
      <c r="U87" s="9"/>
    </row>
    <row r="88" spans="2:21" s="2" customFormat="1" x14ac:dyDescent="0.35">
      <c r="B88" s="58"/>
      <c r="C88" s="59"/>
      <c r="D88" s="59"/>
      <c r="E88" s="60"/>
      <c r="F88" s="61"/>
      <c r="G88" s="62"/>
      <c r="H88"/>
      <c r="I88" s="72"/>
      <c r="J88" s="64"/>
      <c r="K88" s="65"/>
      <c r="L88" s="66"/>
      <c r="M88" s="67"/>
      <c r="N88" s="68"/>
      <c r="Q88" s="9"/>
      <c r="R88" s="9"/>
      <c r="S88" s="9"/>
      <c r="T88" s="9"/>
      <c r="U88" s="9"/>
    </row>
    <row r="89" spans="2:21" x14ac:dyDescent="0.35">
      <c r="B89" s="58"/>
      <c r="C89" s="59"/>
      <c r="D89" s="59"/>
      <c r="E89" s="60"/>
      <c r="F89" s="61"/>
      <c r="G89" s="62"/>
      <c r="H89"/>
      <c r="I89" s="71"/>
      <c r="J89" s="64"/>
      <c r="K89" s="65"/>
      <c r="L89" s="66"/>
      <c r="M89" s="67"/>
      <c r="N89" s="68"/>
      <c r="O89" s="2"/>
      <c r="P89" s="2"/>
    </row>
    <row r="90" spans="2:21" x14ac:dyDescent="0.35">
      <c r="B90" s="58"/>
      <c r="C90" s="59"/>
      <c r="D90" s="59"/>
      <c r="E90" s="60"/>
      <c r="F90" s="61"/>
      <c r="G90" s="62"/>
      <c r="H90"/>
      <c r="I90" s="72"/>
      <c r="J90" s="64"/>
      <c r="K90" s="65"/>
      <c r="L90" s="66"/>
      <c r="M90" s="67"/>
      <c r="N90" s="68"/>
      <c r="O90" s="2"/>
      <c r="P90" s="2"/>
    </row>
    <row r="91" spans="2:21" x14ac:dyDescent="0.35">
      <c r="B91" s="58"/>
      <c r="C91" s="59"/>
      <c r="D91" s="59"/>
      <c r="E91" s="60"/>
      <c r="F91" s="61"/>
      <c r="G91" s="62"/>
      <c r="H91"/>
      <c r="I91" s="71"/>
      <c r="J91" s="64"/>
      <c r="K91" s="65"/>
      <c r="L91" s="66"/>
      <c r="M91" s="67"/>
      <c r="N91" s="68"/>
      <c r="O91" s="2"/>
      <c r="P91" s="2"/>
    </row>
    <row r="92" spans="2:21" x14ac:dyDescent="0.35">
      <c r="B92" s="58"/>
      <c r="C92" s="59"/>
      <c r="D92" s="59"/>
      <c r="E92" s="60"/>
      <c r="F92" s="61"/>
      <c r="G92" s="62"/>
      <c r="H92"/>
      <c r="I92" s="72"/>
      <c r="J92" s="64"/>
      <c r="K92" s="65"/>
      <c r="L92" s="66"/>
      <c r="M92" s="67"/>
      <c r="N92" s="68"/>
      <c r="O92" s="2"/>
      <c r="P92" s="2"/>
    </row>
    <row r="93" spans="2:21" x14ac:dyDescent="0.35">
      <c r="B93" s="58"/>
      <c r="C93" s="59"/>
      <c r="D93" s="59"/>
      <c r="E93" s="60"/>
      <c r="F93" s="61"/>
      <c r="G93" s="62"/>
      <c r="H93"/>
      <c r="I93" s="71"/>
      <c r="J93" s="64"/>
      <c r="K93" s="65"/>
      <c r="L93" s="66"/>
      <c r="M93" s="67"/>
      <c r="N93" s="68"/>
      <c r="O93" s="2"/>
      <c r="P93" s="2"/>
    </row>
    <row r="94" spans="2:21" x14ac:dyDescent="0.35">
      <c r="B94" s="58"/>
      <c r="C94" s="59"/>
      <c r="D94" s="59"/>
      <c r="E94" s="60"/>
      <c r="F94" s="61"/>
      <c r="G94" s="62"/>
      <c r="H94"/>
      <c r="I94" s="71"/>
      <c r="J94" s="64"/>
      <c r="K94" s="65"/>
      <c r="L94" s="66"/>
      <c r="M94" s="67"/>
      <c r="N94" s="68"/>
      <c r="O94" s="2"/>
      <c r="P94" s="2"/>
    </row>
    <row r="95" spans="2:21" x14ac:dyDescent="0.35">
      <c r="B95" s="58"/>
      <c r="C95" s="59"/>
      <c r="D95" s="59"/>
      <c r="E95" s="60"/>
      <c r="F95" s="61"/>
      <c r="G95" s="62"/>
      <c r="H95"/>
      <c r="I95" s="72"/>
      <c r="J95" s="64"/>
      <c r="K95" s="65"/>
      <c r="L95" s="66"/>
      <c r="M95" s="67"/>
      <c r="N95" s="68"/>
      <c r="O95" s="2"/>
      <c r="P95" s="2"/>
    </row>
    <row r="96" spans="2:21" x14ac:dyDescent="0.35">
      <c r="B96" s="58"/>
      <c r="C96" s="59"/>
      <c r="D96" s="59"/>
      <c r="E96" s="60"/>
      <c r="F96" s="61"/>
      <c r="G96" s="62"/>
      <c r="H96"/>
      <c r="I96" s="71"/>
      <c r="J96" s="64"/>
      <c r="K96" s="65"/>
      <c r="L96" s="66"/>
      <c r="M96" s="67"/>
      <c r="N96" s="68"/>
      <c r="O96" s="2"/>
      <c r="P96" s="2"/>
    </row>
    <row r="97" spans="2:16" x14ac:dyDescent="0.35">
      <c r="B97" s="58"/>
      <c r="C97" s="59"/>
      <c r="D97" s="59"/>
      <c r="E97" s="60"/>
      <c r="F97" s="61"/>
      <c r="G97" s="62"/>
      <c r="H97"/>
      <c r="I97" s="72"/>
      <c r="J97" s="64"/>
      <c r="K97" s="65"/>
      <c r="L97" s="66"/>
      <c r="M97" s="67"/>
      <c r="N97" s="68"/>
      <c r="O97" s="2"/>
      <c r="P97" s="2"/>
    </row>
    <row r="98" spans="2:16" x14ac:dyDescent="0.35">
      <c r="B98" s="58"/>
      <c r="C98" s="59"/>
      <c r="D98" s="59"/>
      <c r="E98" s="60"/>
      <c r="F98" s="61"/>
      <c r="G98" s="62"/>
      <c r="H98"/>
      <c r="I98" s="71"/>
      <c r="J98" s="64"/>
      <c r="K98" s="65"/>
      <c r="L98" s="66"/>
      <c r="M98" s="67"/>
      <c r="N98" s="68"/>
      <c r="O98" s="2"/>
      <c r="P98" s="2"/>
    </row>
    <row r="99" spans="2:16" x14ac:dyDescent="0.35">
      <c r="B99" s="58"/>
      <c r="C99" s="59"/>
      <c r="D99" s="59"/>
      <c r="E99" s="60"/>
      <c r="F99" s="61"/>
      <c r="G99" s="62"/>
      <c r="H99"/>
      <c r="I99" s="72"/>
      <c r="J99" s="64"/>
      <c r="K99" s="65"/>
      <c r="L99" s="66"/>
      <c r="M99" s="67"/>
      <c r="N99" s="68"/>
      <c r="O99" s="2"/>
      <c r="P99" s="2"/>
    </row>
    <row r="100" spans="2:16" x14ac:dyDescent="0.35">
      <c r="B100" s="58"/>
      <c r="C100" s="59"/>
      <c r="D100" s="59"/>
      <c r="E100" s="60"/>
      <c r="F100" s="61"/>
      <c r="G100" s="62"/>
      <c r="H100"/>
      <c r="I100" s="71"/>
      <c r="J100" s="64"/>
      <c r="K100" s="65"/>
      <c r="L100" s="66"/>
      <c r="M100" s="67"/>
      <c r="N100" s="68"/>
      <c r="O100" s="2"/>
      <c r="P100" s="2"/>
    </row>
    <row r="101" spans="2:16" x14ac:dyDescent="0.35">
      <c r="B101" s="58"/>
      <c r="C101" s="59"/>
      <c r="D101" s="59"/>
      <c r="E101" s="60"/>
      <c r="F101" s="61"/>
      <c r="G101" s="62"/>
      <c r="H101"/>
      <c r="I101" s="71"/>
      <c r="J101" s="64"/>
      <c r="K101" s="65"/>
      <c r="L101" s="66"/>
      <c r="M101" s="67"/>
      <c r="N101" s="68"/>
      <c r="O101" s="2"/>
      <c r="P101" s="2"/>
    </row>
    <row r="102" spans="2:16" x14ac:dyDescent="0.35">
      <c r="B102" s="58"/>
      <c r="C102" s="59"/>
      <c r="D102" s="59"/>
      <c r="E102" s="60"/>
      <c r="F102" s="61"/>
      <c r="G102" s="62"/>
      <c r="H102"/>
      <c r="I102" s="71"/>
      <c r="J102" s="64"/>
      <c r="K102" s="65"/>
      <c r="L102" s="66"/>
      <c r="M102" s="67"/>
      <c r="N102" s="68"/>
      <c r="O102" s="2"/>
      <c r="P102" s="2"/>
    </row>
    <row r="103" spans="2:16" x14ac:dyDescent="0.35">
      <c r="B103" s="58"/>
      <c r="C103" s="59"/>
      <c r="D103" s="59"/>
      <c r="E103" s="60"/>
      <c r="F103" s="61"/>
      <c r="G103" s="62"/>
      <c r="H103"/>
      <c r="I103" s="72"/>
      <c r="J103" s="73"/>
      <c r="L103" s="75"/>
      <c r="M103" s="67"/>
      <c r="N103" s="68"/>
      <c r="O103" s="2"/>
      <c r="P103" s="2"/>
    </row>
    <row r="104" spans="2:16" x14ac:dyDescent="0.35">
      <c r="B104" s="58"/>
      <c r="C104" s="59"/>
      <c r="D104" s="59"/>
      <c r="E104" s="60"/>
      <c r="F104" s="61"/>
      <c r="G104" s="62"/>
      <c r="H104"/>
      <c r="I104" s="71"/>
      <c r="J104" s="76"/>
      <c r="L104" s="75"/>
      <c r="M104" s="67"/>
      <c r="N104" s="68"/>
      <c r="O104" s="2"/>
      <c r="P104" s="2"/>
    </row>
    <row r="105" spans="2:16" x14ac:dyDescent="0.35">
      <c r="B105" s="58"/>
      <c r="C105" s="59"/>
      <c r="D105" s="59"/>
      <c r="E105" s="60"/>
      <c r="F105" s="61"/>
      <c r="G105" s="62"/>
      <c r="H105"/>
      <c r="I105" s="71"/>
      <c r="J105" s="64"/>
      <c r="K105" s="65"/>
      <c r="L105" s="66"/>
      <c r="M105" s="67"/>
      <c r="N105" s="68"/>
      <c r="O105" s="2"/>
      <c r="P105" s="2"/>
    </row>
    <row r="106" spans="2:16" x14ac:dyDescent="0.35">
      <c r="B106" s="58"/>
      <c r="C106" s="59"/>
      <c r="D106" s="59"/>
      <c r="E106" s="60"/>
      <c r="F106" s="61"/>
      <c r="G106" s="62"/>
      <c r="H106"/>
      <c r="I106" s="71"/>
      <c r="J106" s="64"/>
      <c r="K106" s="65"/>
      <c r="L106" s="66"/>
      <c r="M106" s="67"/>
      <c r="N106" s="68"/>
      <c r="O106" s="2"/>
      <c r="P106" s="2"/>
    </row>
    <row r="107" spans="2:16" x14ac:dyDescent="0.35">
      <c r="B107" s="58"/>
      <c r="C107" s="59"/>
      <c r="D107" s="59"/>
      <c r="E107" s="60"/>
      <c r="F107" s="61"/>
      <c r="G107" s="62"/>
      <c r="H107"/>
      <c r="I107" s="72"/>
      <c r="J107" s="64"/>
      <c r="K107" s="65"/>
      <c r="L107" s="66"/>
      <c r="M107" s="67"/>
      <c r="N107" s="68"/>
      <c r="O107" s="2"/>
      <c r="P107" s="2"/>
    </row>
    <row r="108" spans="2:16" x14ac:dyDescent="0.35">
      <c r="B108" s="58"/>
      <c r="C108" s="59"/>
      <c r="D108" s="59"/>
      <c r="E108" s="60"/>
      <c r="F108" s="61"/>
      <c r="G108" s="62"/>
      <c r="H108"/>
      <c r="I108" s="71"/>
      <c r="J108" s="64"/>
      <c r="K108" s="65"/>
      <c r="L108" s="66"/>
      <c r="M108" s="67"/>
      <c r="N108" s="77"/>
      <c r="O108" s="2"/>
      <c r="P108" s="2"/>
    </row>
    <row r="109" spans="2:16" x14ac:dyDescent="0.35">
      <c r="B109" s="58"/>
      <c r="C109" s="59"/>
      <c r="D109" s="59"/>
      <c r="E109" s="60"/>
      <c r="F109" s="61"/>
      <c r="G109" s="62"/>
      <c r="H109"/>
      <c r="I109" s="72"/>
      <c r="J109" s="76"/>
      <c r="L109" s="75"/>
      <c r="M109" s="67"/>
      <c r="N109" s="77"/>
      <c r="O109" s="2"/>
      <c r="P109" s="2"/>
    </row>
    <row r="110" spans="2:16" x14ac:dyDescent="0.35">
      <c r="B110" s="58"/>
      <c r="C110" s="59"/>
      <c r="D110" s="59"/>
      <c r="E110" s="60"/>
      <c r="F110" s="61"/>
      <c r="G110" s="62"/>
      <c r="H110"/>
      <c r="I110" s="71"/>
      <c r="J110" s="76"/>
      <c r="L110" s="75"/>
      <c r="M110" s="67"/>
      <c r="N110" s="77"/>
      <c r="O110" s="2"/>
      <c r="P110" s="2"/>
    </row>
    <row r="111" spans="2:16" x14ac:dyDescent="0.35">
      <c r="B111" s="58"/>
      <c r="C111" s="59"/>
      <c r="D111" s="59"/>
      <c r="E111" s="60"/>
      <c r="F111" s="61"/>
      <c r="G111" s="62"/>
      <c r="H111"/>
      <c r="I111" s="72"/>
      <c r="J111" s="76"/>
      <c r="L111" s="75"/>
      <c r="M111" s="67"/>
      <c r="N111" s="77"/>
      <c r="O111" s="2"/>
      <c r="P111" s="2"/>
    </row>
    <row r="112" spans="2:16" x14ac:dyDescent="0.35">
      <c r="B112" s="58"/>
      <c r="C112" s="59"/>
      <c r="D112" s="59"/>
      <c r="E112" s="60"/>
      <c r="F112" s="61"/>
      <c r="G112" s="62"/>
      <c r="H112"/>
      <c r="I112" s="71"/>
      <c r="J112" s="76"/>
      <c r="L112" s="75"/>
      <c r="M112" s="67"/>
      <c r="N112" s="77"/>
      <c r="O112" s="2"/>
      <c r="P112" s="2"/>
    </row>
    <row r="113" spans="1:26" x14ac:dyDescent="0.35">
      <c r="B113" s="58"/>
      <c r="C113" s="59"/>
      <c r="D113" s="59"/>
      <c r="E113" s="60"/>
      <c r="F113" s="61"/>
      <c r="G113" s="62"/>
      <c r="H113"/>
      <c r="I113" s="72"/>
      <c r="J113" s="76"/>
      <c r="L113" s="75"/>
      <c r="M113" s="67"/>
      <c r="N113" s="68"/>
      <c r="O113" s="2"/>
      <c r="P113" s="2"/>
    </row>
    <row r="114" spans="1:26" x14ac:dyDescent="0.35">
      <c r="B114" s="58"/>
      <c r="C114" s="59"/>
      <c r="D114" s="59"/>
      <c r="E114" s="60"/>
      <c r="F114" s="61"/>
      <c r="G114" s="62"/>
      <c r="H114"/>
      <c r="I114" s="71"/>
      <c r="J114" s="76"/>
      <c r="L114" s="75"/>
      <c r="M114" s="67"/>
      <c r="N114" s="68"/>
      <c r="O114" s="2"/>
      <c r="P114" s="2"/>
    </row>
    <row r="115" spans="1:26" s="74" customFormat="1" x14ac:dyDescent="0.35">
      <c r="A115" s="2"/>
      <c r="B115" s="58"/>
      <c r="C115" s="59"/>
      <c r="D115" s="59"/>
      <c r="E115" s="60"/>
      <c r="F115" s="61"/>
      <c r="G115" s="62"/>
      <c r="H115"/>
      <c r="I115" s="72"/>
      <c r="J115" s="64"/>
      <c r="K115" s="65"/>
      <c r="L115" s="66"/>
      <c r="M115" s="67"/>
      <c r="N115" s="68"/>
      <c r="O115" s="2"/>
      <c r="P115" s="2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s="74" customFormat="1" x14ac:dyDescent="0.35">
      <c r="A116" s="2"/>
      <c r="B116" s="58"/>
      <c r="C116" s="59"/>
      <c r="D116" s="59"/>
      <c r="E116" s="60"/>
      <c r="F116" s="61"/>
      <c r="G116" s="62"/>
      <c r="H116"/>
      <c r="I116" s="71"/>
      <c r="J116" s="64"/>
      <c r="K116" s="65"/>
      <c r="L116" s="66"/>
      <c r="M116" s="67"/>
      <c r="N116" s="68"/>
      <c r="O116" s="2"/>
      <c r="P116" s="2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s="74" customFormat="1" x14ac:dyDescent="0.35">
      <c r="A117" s="2"/>
      <c r="B117" s="58"/>
      <c r="C117" s="59"/>
      <c r="D117" s="59"/>
      <c r="E117" s="60"/>
      <c r="F117" s="61"/>
      <c r="G117" s="62"/>
      <c r="H117"/>
      <c r="I117" s="71"/>
      <c r="J117" s="64"/>
      <c r="K117" s="65"/>
      <c r="L117" s="66"/>
      <c r="M117" s="67"/>
      <c r="N117" s="68"/>
      <c r="O117" s="2"/>
      <c r="P117" s="2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s="74" customFormat="1" x14ac:dyDescent="0.35">
      <c r="A118" s="2"/>
      <c r="B118" s="58"/>
      <c r="C118" s="59"/>
      <c r="D118" s="59"/>
      <c r="E118" s="60"/>
      <c r="F118" s="61"/>
      <c r="G118" s="62"/>
      <c r="H118"/>
      <c r="I118" s="71"/>
      <c r="J118" s="64"/>
      <c r="K118" s="65"/>
      <c r="L118" s="66"/>
      <c r="M118" s="67"/>
      <c r="N118" s="68"/>
      <c r="O118" s="2"/>
      <c r="P118" s="2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s="74" customFormat="1" x14ac:dyDescent="0.35">
      <c r="A119" s="2"/>
      <c r="B119" s="58"/>
      <c r="C119" s="59"/>
      <c r="D119" s="59"/>
      <c r="E119" s="60"/>
      <c r="F119" s="61"/>
      <c r="G119" s="62"/>
      <c r="H119"/>
      <c r="I119" s="72"/>
      <c r="J119" s="64"/>
      <c r="K119" s="65"/>
      <c r="L119" s="66"/>
      <c r="M119" s="67"/>
      <c r="N119" s="68"/>
      <c r="O119" s="2"/>
      <c r="P119" s="2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s="74" customFormat="1" x14ac:dyDescent="0.35">
      <c r="A120" s="2"/>
      <c r="B120" s="58"/>
      <c r="C120" s="59"/>
      <c r="D120" s="59"/>
      <c r="E120" s="60"/>
      <c r="F120" s="61"/>
      <c r="G120" s="62"/>
      <c r="H120"/>
      <c r="I120" s="71"/>
      <c r="J120" s="64"/>
      <c r="K120" s="65"/>
      <c r="L120" s="66"/>
      <c r="M120" s="67"/>
      <c r="N120" s="68"/>
      <c r="O120" s="2"/>
      <c r="P120" s="2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s="74" customFormat="1" x14ac:dyDescent="0.35">
      <c r="A121" s="2"/>
      <c r="B121" s="58"/>
      <c r="C121" s="59"/>
      <c r="D121" s="59"/>
      <c r="E121" s="60"/>
      <c r="F121" s="61"/>
      <c r="G121" s="62"/>
      <c r="H121"/>
      <c r="I121" s="72"/>
      <c r="J121" s="64"/>
      <c r="K121" s="65"/>
      <c r="L121" s="66"/>
      <c r="M121" s="67"/>
      <c r="N121" s="68"/>
      <c r="O121" s="2"/>
      <c r="P121" s="2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s="74" customFormat="1" ht="15.75" customHeight="1" x14ac:dyDescent="0.35">
      <c r="A122" s="2"/>
      <c r="B122" s="58"/>
      <c r="C122" s="59"/>
      <c r="D122" s="59"/>
      <c r="E122" s="60"/>
      <c r="F122" s="61"/>
      <c r="G122" s="62"/>
      <c r="H122"/>
      <c r="I122" s="71"/>
      <c r="J122" s="64"/>
      <c r="K122" s="65"/>
      <c r="L122" s="66"/>
      <c r="M122" s="67"/>
      <c r="N122" s="68"/>
      <c r="O122" s="2"/>
      <c r="P122" s="2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s="74" customFormat="1" x14ac:dyDescent="0.35">
      <c r="A123" s="2"/>
      <c r="B123" s="58"/>
      <c r="C123" s="59"/>
      <c r="D123" s="59"/>
      <c r="E123" s="60"/>
      <c r="F123" s="61"/>
      <c r="G123" s="62"/>
      <c r="H123"/>
      <c r="I123" s="72"/>
      <c r="J123" s="64"/>
      <c r="K123" s="65"/>
      <c r="L123" s="66"/>
      <c r="M123" s="67"/>
      <c r="N123" s="68"/>
      <c r="O123" s="2"/>
      <c r="P123" s="2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s="74" customFormat="1" x14ac:dyDescent="0.35">
      <c r="A124" s="2"/>
      <c r="B124" s="58"/>
      <c r="C124" s="59"/>
      <c r="D124" s="59"/>
      <c r="E124" s="60"/>
      <c r="F124" s="61"/>
      <c r="G124" s="62"/>
      <c r="H124"/>
      <c r="I124" s="78"/>
      <c r="J124" s="64"/>
      <c r="K124" s="65"/>
      <c r="L124" s="66"/>
      <c r="M124" s="67"/>
      <c r="N124" s="68"/>
      <c r="O124" s="2"/>
      <c r="P124" s="2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s="74" customFormat="1" x14ac:dyDescent="0.35">
      <c r="A125" s="2"/>
      <c r="B125" s="58"/>
      <c r="C125" s="59"/>
      <c r="D125" s="59"/>
      <c r="E125" s="60"/>
      <c r="F125" s="61"/>
      <c r="G125" s="62"/>
      <c r="H125"/>
      <c r="I125" s="78"/>
      <c r="J125" s="64"/>
      <c r="K125" s="65"/>
      <c r="L125" s="66"/>
      <c r="M125" s="67"/>
      <c r="N125" s="68"/>
      <c r="O125" s="2"/>
      <c r="P125" s="2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s="74" customFormat="1" x14ac:dyDescent="0.35">
      <c r="A126" s="2"/>
      <c r="B126" s="58"/>
      <c r="C126" s="59"/>
      <c r="D126" s="59"/>
      <c r="E126" s="60"/>
      <c r="F126" s="61"/>
      <c r="G126" s="62"/>
      <c r="H126"/>
      <c r="I126" s="78"/>
      <c r="J126" s="64"/>
      <c r="K126" s="65"/>
      <c r="L126" s="66"/>
      <c r="M126" s="67"/>
      <c r="N126" s="68"/>
      <c r="O126" s="2"/>
      <c r="P126" s="2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s="74" customFormat="1" ht="15.75" customHeight="1" x14ac:dyDescent="0.35">
      <c r="A127" s="2"/>
      <c r="B127" s="58"/>
      <c r="C127" s="59"/>
      <c r="D127" s="59"/>
      <c r="E127" s="60"/>
      <c r="F127" s="61"/>
      <c r="G127" s="62"/>
      <c r="H127"/>
      <c r="I127" s="78"/>
      <c r="J127" s="64"/>
      <c r="K127" s="65"/>
      <c r="L127" s="66"/>
      <c r="M127" s="67"/>
      <c r="N127" s="68"/>
      <c r="O127" s="2"/>
      <c r="P127" s="2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s="74" customFormat="1" x14ac:dyDescent="0.35">
      <c r="A128" s="2"/>
      <c r="B128" s="58"/>
      <c r="C128" s="59"/>
      <c r="D128" s="59"/>
      <c r="E128" s="60"/>
      <c r="F128" s="61"/>
      <c r="G128" s="62"/>
      <c r="H128"/>
      <c r="I128" s="78"/>
      <c r="J128" s="64"/>
      <c r="K128" s="65"/>
      <c r="L128" s="66"/>
      <c r="M128" s="67"/>
      <c r="N128" s="68"/>
      <c r="O128" s="2"/>
      <c r="P128" s="2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s="74" customFormat="1" x14ac:dyDescent="0.35">
      <c r="A129" s="2"/>
      <c r="B129" s="58"/>
      <c r="C129" s="59"/>
      <c r="D129" s="59"/>
      <c r="E129" s="60"/>
      <c r="F129" s="61"/>
      <c r="G129" s="62"/>
      <c r="H129"/>
      <c r="I129" s="78"/>
      <c r="J129" s="64"/>
      <c r="K129" s="65"/>
      <c r="L129" s="66"/>
      <c r="M129" s="67"/>
      <c r="N129" s="68"/>
      <c r="O129" s="2"/>
      <c r="P129" s="2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s="74" customFormat="1" ht="15.75" customHeight="1" x14ac:dyDescent="0.35">
      <c r="A130" s="2"/>
      <c r="B130" s="58"/>
      <c r="C130" s="59"/>
      <c r="D130" s="59"/>
      <c r="E130" s="60"/>
      <c r="F130" s="61"/>
      <c r="G130" s="62"/>
      <c r="H130"/>
      <c r="I130" s="78"/>
      <c r="J130" s="64"/>
      <c r="K130" s="65"/>
      <c r="L130" s="66"/>
      <c r="M130" s="67"/>
      <c r="N130" s="68"/>
      <c r="O130" s="2"/>
      <c r="P130" s="2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s="74" customFormat="1" x14ac:dyDescent="0.35">
      <c r="A131" s="2"/>
      <c r="B131" s="58"/>
      <c r="C131" s="59"/>
      <c r="D131" s="59"/>
      <c r="E131" s="60"/>
      <c r="F131" s="61"/>
      <c r="G131" s="62"/>
      <c r="H131"/>
      <c r="I131" s="78"/>
      <c r="J131" s="64"/>
      <c r="K131" s="65"/>
      <c r="L131" s="66"/>
      <c r="M131" s="67"/>
      <c r="N131" s="68"/>
      <c r="O131" s="2"/>
      <c r="P131" s="2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s="74" customFormat="1" x14ac:dyDescent="0.35">
      <c r="A132" s="2"/>
      <c r="B132" s="58"/>
      <c r="C132" s="59"/>
      <c r="D132" s="59"/>
      <c r="E132" s="60"/>
      <c r="F132" s="61"/>
      <c r="G132" s="62"/>
      <c r="H132"/>
      <c r="I132" s="78"/>
      <c r="J132" s="64"/>
      <c r="K132" s="65"/>
      <c r="L132" s="66"/>
      <c r="M132" s="67"/>
      <c r="N132" s="68"/>
      <c r="O132" s="2"/>
      <c r="P132" s="2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s="74" customFormat="1" x14ac:dyDescent="0.35">
      <c r="A133" s="2"/>
      <c r="B133" s="58"/>
      <c r="C133" s="59"/>
      <c r="D133" s="59"/>
      <c r="E133" s="60"/>
      <c r="F133" s="61"/>
      <c r="G133" s="62"/>
      <c r="H133"/>
      <c r="I133" s="78"/>
      <c r="J133" s="64"/>
      <c r="K133" s="65"/>
      <c r="L133" s="66"/>
      <c r="M133" s="67"/>
      <c r="N133" s="68"/>
      <c r="O133" s="2"/>
      <c r="P133" s="2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s="74" customFormat="1" x14ac:dyDescent="0.35">
      <c r="A134" s="2"/>
      <c r="B134" s="58"/>
      <c r="C134" s="59"/>
      <c r="D134" s="59"/>
      <c r="E134" s="60"/>
      <c r="F134" s="61"/>
      <c r="G134" s="62"/>
      <c r="H134"/>
      <c r="I134" s="78"/>
      <c r="J134" s="64"/>
      <c r="K134" s="65"/>
      <c r="L134" s="66"/>
      <c r="M134" s="67"/>
      <c r="N134" s="68"/>
      <c r="O134" s="2"/>
      <c r="P134" s="2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s="74" customFormat="1" x14ac:dyDescent="0.35">
      <c r="A135" s="2"/>
      <c r="B135" s="58"/>
      <c r="C135" s="59"/>
      <c r="D135" s="59"/>
      <c r="E135" s="60"/>
      <c r="F135" s="61"/>
      <c r="G135" s="62"/>
      <c r="H135"/>
      <c r="I135" s="78"/>
      <c r="J135" s="64"/>
      <c r="K135" s="65"/>
      <c r="L135" s="66"/>
      <c r="M135" s="67"/>
      <c r="N135" s="68"/>
      <c r="O135" s="2"/>
      <c r="P135" s="2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s="74" customFormat="1" x14ac:dyDescent="0.35">
      <c r="A136" s="2"/>
      <c r="B136" s="58"/>
      <c r="C136" s="59"/>
      <c r="D136" s="59"/>
      <c r="E136" s="60"/>
      <c r="F136" s="61"/>
      <c r="G136" s="62"/>
      <c r="H136"/>
      <c r="I136" s="78"/>
      <c r="J136" s="64"/>
      <c r="K136" s="65"/>
      <c r="L136" s="66"/>
      <c r="M136" s="67"/>
      <c r="N136" s="68"/>
      <c r="O136" s="2"/>
      <c r="P136" s="2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s="74" customFormat="1" x14ac:dyDescent="0.35">
      <c r="A137" s="2"/>
      <c r="B137" s="58"/>
      <c r="C137" s="59"/>
      <c r="D137" s="59"/>
      <c r="E137" s="60"/>
      <c r="F137" s="61"/>
      <c r="G137" s="62"/>
      <c r="H137"/>
      <c r="I137" s="78"/>
      <c r="J137" s="64"/>
      <c r="K137" s="65"/>
      <c r="L137" s="66"/>
      <c r="M137" s="67"/>
      <c r="N137" s="68"/>
      <c r="O137" s="2"/>
      <c r="P137" s="2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s="74" customFormat="1" x14ac:dyDescent="0.35">
      <c r="A138" s="2"/>
      <c r="B138" s="58"/>
      <c r="C138" s="59"/>
      <c r="D138" s="59"/>
      <c r="E138" s="60"/>
      <c r="F138" s="61"/>
      <c r="G138" s="62"/>
      <c r="H138"/>
      <c r="I138" s="78"/>
      <c r="J138" s="64"/>
      <c r="K138" s="65"/>
      <c r="L138" s="66"/>
      <c r="M138" s="67"/>
      <c r="N138" s="68"/>
      <c r="O138" s="2"/>
      <c r="P138" s="2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s="79" customFormat="1" x14ac:dyDescent="0.35">
      <c r="A139" s="2"/>
      <c r="B139" s="58"/>
      <c r="C139" s="59"/>
      <c r="D139" s="59"/>
      <c r="E139" s="60"/>
      <c r="F139" s="61"/>
      <c r="G139" s="62"/>
      <c r="H139"/>
      <c r="I139" s="78"/>
      <c r="J139" s="64"/>
      <c r="K139" s="65"/>
      <c r="L139" s="66"/>
      <c r="M139" s="67"/>
      <c r="N139" s="68"/>
      <c r="O139" s="2"/>
      <c r="P139" s="2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s="79" customFormat="1" x14ac:dyDescent="0.35">
      <c r="A140" s="2"/>
      <c r="B140" s="58"/>
      <c r="C140" s="59"/>
      <c r="D140" s="59"/>
      <c r="E140" s="60"/>
      <c r="F140" s="61"/>
      <c r="G140" s="62"/>
      <c r="H140"/>
      <c r="I140" s="78"/>
      <c r="J140" s="64"/>
      <c r="K140" s="65"/>
      <c r="L140" s="66"/>
      <c r="M140" s="67"/>
      <c r="N140" s="68"/>
      <c r="O140" s="2"/>
      <c r="P140" s="2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s="79" customFormat="1" x14ac:dyDescent="0.35">
      <c r="A141" s="2"/>
      <c r="B141" s="58"/>
      <c r="C141" s="59"/>
      <c r="D141" s="59"/>
      <c r="E141" s="60"/>
      <c r="F141" s="61"/>
      <c r="G141" s="62"/>
      <c r="H141"/>
      <c r="I141" s="78"/>
      <c r="J141" s="64"/>
      <c r="K141" s="65"/>
      <c r="L141" s="66"/>
      <c r="M141" s="80"/>
      <c r="N141" s="68"/>
      <c r="O141" s="2"/>
      <c r="P141" s="2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s="85" customFormat="1" x14ac:dyDescent="0.35">
      <c r="A142" s="81"/>
      <c r="B142" s="58"/>
      <c r="C142" s="59"/>
      <c r="D142" s="59"/>
      <c r="E142" s="60"/>
      <c r="F142" s="61"/>
      <c r="G142" s="62"/>
      <c r="H142"/>
      <c r="I142" s="78"/>
      <c r="J142" s="73"/>
      <c r="K142" s="82"/>
      <c r="L142" s="66"/>
      <c r="M142" s="83"/>
      <c r="N142" s="84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spans="1:26" s="79" customFormat="1" x14ac:dyDescent="0.35">
      <c r="A143" s="2"/>
      <c r="B143" s="58"/>
      <c r="C143" s="59"/>
      <c r="D143" s="59"/>
      <c r="E143" s="60"/>
      <c r="F143" s="61"/>
      <c r="G143" s="62"/>
      <c r="H143"/>
      <c r="I143" s="78"/>
      <c r="J143" s="64"/>
      <c r="K143" s="65"/>
      <c r="L143" s="66"/>
      <c r="M143" s="80"/>
      <c r="N143" s="68"/>
      <c r="O143" s="2"/>
      <c r="P143" s="2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s="79" customFormat="1" x14ac:dyDescent="0.35">
      <c r="A144" s="2"/>
      <c r="B144" s="58"/>
      <c r="C144" s="59"/>
      <c r="D144" s="59"/>
      <c r="E144" s="60"/>
      <c r="F144" s="61"/>
      <c r="G144" s="62"/>
      <c r="H144"/>
      <c r="I144" s="78"/>
      <c r="J144" s="64"/>
      <c r="K144" s="65"/>
      <c r="L144" s="66"/>
      <c r="M144" s="83"/>
      <c r="N144" s="68"/>
      <c r="O144" s="2"/>
      <c r="P144" s="2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s="79" customFormat="1" x14ac:dyDescent="0.35">
      <c r="A145" s="2"/>
      <c r="B145" s="58"/>
      <c r="C145" s="59"/>
      <c r="D145" s="59"/>
      <c r="E145" s="60"/>
      <c r="F145" s="61"/>
      <c r="G145" s="62"/>
      <c r="H145"/>
      <c r="I145" s="78"/>
      <c r="J145" s="64"/>
      <c r="K145" s="65"/>
      <c r="L145" s="66"/>
      <c r="M145" s="80"/>
      <c r="N145" s="68"/>
      <c r="O145" s="2"/>
      <c r="P145" s="2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s="79" customFormat="1" x14ac:dyDescent="0.35">
      <c r="A146" s="2"/>
      <c r="B146" s="58"/>
      <c r="C146" s="59"/>
      <c r="D146" s="59"/>
      <c r="E146" s="60"/>
      <c r="F146" s="61"/>
      <c r="G146" s="62"/>
      <c r="H146"/>
      <c r="I146" s="78"/>
      <c r="J146" s="64"/>
      <c r="K146" s="65"/>
      <c r="L146" s="66"/>
      <c r="M146" s="67"/>
      <c r="N146" s="68"/>
      <c r="O146" s="2"/>
      <c r="P146" s="2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s="85" customFormat="1" x14ac:dyDescent="0.35">
      <c r="A147" s="81"/>
      <c r="B147" s="58"/>
      <c r="C147" s="59"/>
      <c r="D147" s="59"/>
      <c r="E147" s="60"/>
      <c r="F147" s="61"/>
      <c r="G147" s="62"/>
      <c r="H147"/>
      <c r="I147" s="78"/>
      <c r="J147" s="73"/>
      <c r="K147" s="82"/>
      <c r="L147" s="66"/>
      <c r="M147" s="83"/>
      <c r="N147" s="84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spans="1:26" s="79" customFormat="1" x14ac:dyDescent="0.35">
      <c r="A148" s="2"/>
      <c r="B148" s="58"/>
      <c r="C148" s="59"/>
      <c r="D148" s="59"/>
      <c r="E148" s="60"/>
      <c r="F148" s="61"/>
      <c r="G148" s="62"/>
      <c r="H148"/>
      <c r="I148" s="78"/>
      <c r="J148" s="64"/>
      <c r="K148" s="65"/>
      <c r="L148" s="66"/>
      <c r="M148" s="67"/>
      <c r="N148" s="68"/>
      <c r="O148" s="2"/>
      <c r="P148" s="2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s="79" customFormat="1" x14ac:dyDescent="0.35">
      <c r="A149" s="2"/>
      <c r="B149" s="58"/>
      <c r="C149" s="59"/>
      <c r="D149" s="59"/>
      <c r="E149" s="60"/>
      <c r="F149" s="61"/>
      <c r="G149" s="62"/>
      <c r="H149"/>
      <c r="I149" s="78"/>
      <c r="J149" s="64"/>
      <c r="K149" s="65"/>
      <c r="L149" s="66"/>
      <c r="M149" s="67"/>
      <c r="N149" s="68"/>
      <c r="O149" s="2"/>
      <c r="P149" s="2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s="79" customFormat="1" x14ac:dyDescent="0.35">
      <c r="A150" s="2"/>
      <c r="B150" s="58"/>
      <c r="C150" s="59"/>
      <c r="D150" s="59"/>
      <c r="E150" s="60"/>
      <c r="F150" s="61"/>
      <c r="G150" s="62"/>
      <c r="H150"/>
      <c r="I150" s="78"/>
      <c r="J150" s="64"/>
      <c r="K150" s="65"/>
      <c r="L150" s="66"/>
      <c r="M150" s="67"/>
      <c r="N150" s="68"/>
      <c r="O150" s="2"/>
      <c r="P150" s="2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s="79" customFormat="1" x14ac:dyDescent="0.35">
      <c r="A151" s="2"/>
      <c r="B151" s="58"/>
      <c r="C151" s="59"/>
      <c r="D151" s="59"/>
      <c r="E151" s="60"/>
      <c r="F151" s="61"/>
      <c r="G151" s="62"/>
      <c r="H151"/>
      <c r="I151" s="78"/>
      <c r="J151" s="64"/>
      <c r="K151" s="65"/>
      <c r="L151" s="66"/>
      <c r="M151" s="67"/>
      <c r="N151" s="68"/>
      <c r="O151" s="2"/>
      <c r="P151" s="2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s="74" customFormat="1" x14ac:dyDescent="0.35">
      <c r="A152" s="2"/>
      <c r="B152" s="58"/>
      <c r="C152" s="59"/>
      <c r="D152" s="59"/>
      <c r="E152" s="60"/>
      <c r="F152" s="61"/>
      <c r="G152" s="62"/>
      <c r="H152"/>
      <c r="I152" s="78"/>
      <c r="J152" s="64"/>
      <c r="K152" s="65"/>
      <c r="L152" s="66"/>
      <c r="M152" s="67"/>
      <c r="N152" s="68"/>
      <c r="O152" s="2"/>
      <c r="P152" s="2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s="74" customFormat="1" x14ac:dyDescent="0.35">
      <c r="A153" s="2"/>
      <c r="B153" s="58"/>
      <c r="C153" s="59"/>
      <c r="D153" s="59"/>
      <c r="E153" s="60"/>
      <c r="F153" s="61"/>
      <c r="G153" s="62"/>
      <c r="H153"/>
      <c r="I153" s="78"/>
      <c r="J153" s="64"/>
      <c r="K153" s="65"/>
      <c r="L153" s="66"/>
      <c r="M153" s="67"/>
      <c r="N153" s="68"/>
      <c r="O153" s="2"/>
      <c r="P153" s="2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s="74" customFormat="1" x14ac:dyDescent="0.35">
      <c r="A154" s="2"/>
      <c r="B154" s="58"/>
      <c r="C154" s="59"/>
      <c r="D154" s="59"/>
      <c r="E154" s="60"/>
      <c r="F154" s="61"/>
      <c r="G154" s="62"/>
      <c r="H154"/>
      <c r="I154" s="78"/>
      <c r="J154" s="64"/>
      <c r="K154" s="65"/>
      <c r="L154" s="66"/>
      <c r="M154" s="67"/>
      <c r="N154" s="68"/>
      <c r="O154" s="2"/>
      <c r="P154" s="2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s="74" customFormat="1" x14ac:dyDescent="0.35">
      <c r="A155" s="2"/>
      <c r="B155" s="58"/>
      <c r="C155" s="59"/>
      <c r="D155" s="59"/>
      <c r="E155" s="60"/>
      <c r="F155" s="61"/>
      <c r="G155" s="62"/>
      <c r="H155"/>
      <c r="I155" s="78"/>
      <c r="J155" s="64"/>
      <c r="K155" s="65"/>
      <c r="L155" s="86"/>
      <c r="M155" s="67"/>
      <c r="N155" s="68"/>
      <c r="O155" s="2"/>
      <c r="P155" s="2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s="74" customFormat="1" x14ac:dyDescent="0.35">
      <c r="A156" s="2"/>
      <c r="B156" s="58"/>
      <c r="C156" s="59"/>
      <c r="D156" s="59"/>
      <c r="E156" s="60"/>
      <c r="F156" s="61"/>
      <c r="G156" s="62"/>
      <c r="H156"/>
      <c r="I156" s="78"/>
      <c r="J156" s="64"/>
      <c r="K156" s="65"/>
      <c r="L156" s="86"/>
      <c r="M156" s="67"/>
      <c r="N156" s="68"/>
      <c r="O156" s="2"/>
      <c r="P156" s="2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s="74" customFormat="1" x14ac:dyDescent="0.35">
      <c r="A157" s="2"/>
      <c r="B157" s="58"/>
      <c r="C157" s="59"/>
      <c r="D157" s="59"/>
      <c r="E157" s="60"/>
      <c r="F157" s="61"/>
      <c r="G157" s="62"/>
      <c r="H157"/>
      <c r="I157" s="78"/>
      <c r="J157" s="64"/>
      <c r="K157" s="65"/>
      <c r="L157" s="86"/>
      <c r="M157" s="67"/>
      <c r="N157" s="68"/>
      <c r="O157" s="2"/>
      <c r="P157" s="2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s="74" customFormat="1" x14ac:dyDescent="0.35">
      <c r="A158" s="2"/>
      <c r="B158" s="58"/>
      <c r="C158" s="59"/>
      <c r="D158" s="59"/>
      <c r="E158" s="60"/>
      <c r="F158" s="61"/>
      <c r="G158" s="62"/>
      <c r="H158"/>
      <c r="I158" s="78"/>
      <c r="J158" s="64"/>
      <c r="K158" s="65"/>
      <c r="L158" s="86"/>
      <c r="M158" s="67"/>
      <c r="N158" s="68"/>
      <c r="O158" s="2"/>
      <c r="P158" s="2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s="74" customFormat="1" x14ac:dyDescent="0.35">
      <c r="A159" s="2"/>
      <c r="B159" s="58"/>
      <c r="C159" s="59"/>
      <c r="D159" s="59"/>
      <c r="E159" s="60"/>
      <c r="F159" s="61"/>
      <c r="G159" s="62"/>
      <c r="H159"/>
      <c r="I159" s="78"/>
      <c r="J159" s="64"/>
      <c r="K159" s="65"/>
      <c r="L159" s="86"/>
      <c r="M159" s="67"/>
      <c r="N159" s="68"/>
      <c r="O159" s="2"/>
      <c r="P159" s="2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s="74" customFormat="1" x14ac:dyDescent="0.35">
      <c r="A160" s="2"/>
      <c r="B160" s="58"/>
      <c r="C160" s="59"/>
      <c r="D160" s="59"/>
      <c r="E160" s="60"/>
      <c r="F160" s="61"/>
      <c r="G160" s="62"/>
      <c r="H160"/>
      <c r="I160" s="78"/>
      <c r="J160" s="64"/>
      <c r="K160" s="65"/>
      <c r="L160" s="86"/>
      <c r="M160" s="67"/>
      <c r="N160" s="68"/>
      <c r="O160" s="2"/>
      <c r="P160" s="2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s="74" customFormat="1" x14ac:dyDescent="0.35">
      <c r="A161" s="2"/>
      <c r="B161" s="58"/>
      <c r="C161" s="59"/>
      <c r="D161" s="59"/>
      <c r="E161" s="60"/>
      <c r="F161" s="61"/>
      <c r="G161" s="62"/>
      <c r="H161"/>
      <c r="I161" s="78"/>
      <c r="J161" s="64"/>
      <c r="K161" s="65"/>
      <c r="L161" s="86"/>
      <c r="M161" s="67"/>
      <c r="N161" s="68"/>
      <c r="O161" s="2"/>
      <c r="P161" s="2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s="74" customFormat="1" x14ac:dyDescent="0.35">
      <c r="A162" s="2"/>
      <c r="B162" s="58"/>
      <c r="C162" s="59"/>
      <c r="D162" s="59"/>
      <c r="E162" s="60"/>
      <c r="F162" s="61"/>
      <c r="G162" s="62"/>
      <c r="H162"/>
      <c r="I162" s="78"/>
      <c r="J162" s="64"/>
      <c r="K162" s="65"/>
      <c r="L162" s="86"/>
      <c r="M162" s="67"/>
      <c r="N162" s="68"/>
      <c r="O162" s="2"/>
      <c r="P162" s="2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s="74" customFormat="1" x14ac:dyDescent="0.35">
      <c r="A163" s="2"/>
      <c r="B163" s="58"/>
      <c r="C163" s="59"/>
      <c r="D163" s="59"/>
      <c r="E163" s="60"/>
      <c r="F163" s="61"/>
      <c r="G163" s="62"/>
      <c r="H163"/>
      <c r="I163" s="78"/>
      <c r="J163" s="64"/>
      <c r="K163" s="65"/>
      <c r="L163" s="86"/>
      <c r="M163" s="67"/>
      <c r="N163" s="68"/>
      <c r="O163" s="2"/>
      <c r="P163" s="2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s="74" customFormat="1" x14ac:dyDescent="0.35">
      <c r="A164" s="2"/>
      <c r="B164" s="58"/>
      <c r="C164" s="59"/>
      <c r="D164" s="59"/>
      <c r="E164" s="60"/>
      <c r="F164" s="61"/>
      <c r="G164" s="62"/>
      <c r="H164"/>
      <c r="I164" s="78"/>
      <c r="J164" s="64"/>
      <c r="K164" s="65"/>
      <c r="L164" s="86"/>
      <c r="M164" s="67"/>
      <c r="N164" s="68"/>
      <c r="O164" s="87"/>
      <c r="P164" s="2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s="74" customFormat="1" x14ac:dyDescent="0.35">
      <c r="A165" s="2"/>
      <c r="B165" s="58"/>
      <c r="C165" s="59"/>
      <c r="D165" s="59"/>
      <c r="E165" s="60"/>
      <c r="F165" s="61"/>
      <c r="G165" s="62"/>
      <c r="H165"/>
      <c r="I165" s="78"/>
      <c r="J165" s="64"/>
      <c r="K165" s="65"/>
      <c r="L165" s="86"/>
      <c r="M165" s="67"/>
      <c r="N165" s="68"/>
      <c r="O165" s="2"/>
      <c r="P165" s="2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s="74" customFormat="1" x14ac:dyDescent="0.35">
      <c r="A166" s="2"/>
      <c r="B166" s="58"/>
      <c r="C166" s="59"/>
      <c r="D166" s="59"/>
      <c r="E166" s="60"/>
      <c r="F166" s="61"/>
      <c r="G166" s="62"/>
      <c r="H166"/>
      <c r="I166" s="78"/>
      <c r="J166" s="64"/>
      <c r="K166" s="65"/>
      <c r="L166" s="86"/>
      <c r="M166" s="67"/>
      <c r="N166" s="68"/>
      <c r="O166" s="2"/>
      <c r="P166" s="2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s="74" customFormat="1" x14ac:dyDescent="0.35">
      <c r="A167" s="2"/>
      <c r="B167" s="58"/>
      <c r="C167" s="59"/>
      <c r="D167" s="59"/>
      <c r="E167" s="60"/>
      <c r="F167" s="61"/>
      <c r="G167" s="62"/>
      <c r="H167"/>
      <c r="I167" s="78"/>
      <c r="J167" s="64"/>
      <c r="K167" s="65"/>
      <c r="L167" s="86"/>
      <c r="M167" s="67"/>
      <c r="N167" s="68"/>
      <c r="O167" s="2"/>
      <c r="P167" s="2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s="74" customFormat="1" x14ac:dyDescent="0.35">
      <c r="A168" s="2"/>
      <c r="B168" s="58"/>
      <c r="C168" s="59"/>
      <c r="D168" s="59"/>
      <c r="E168" s="60"/>
      <c r="F168" s="61"/>
      <c r="G168" s="62"/>
      <c r="H168"/>
      <c r="I168" s="78"/>
      <c r="J168" s="64"/>
      <c r="K168" s="65"/>
      <c r="L168" s="86"/>
      <c r="M168" s="67"/>
      <c r="N168" s="68"/>
      <c r="O168" s="2"/>
      <c r="P168" s="2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s="74" customFormat="1" x14ac:dyDescent="0.35">
      <c r="A169" s="2"/>
      <c r="B169" s="58"/>
      <c r="C169" s="59"/>
      <c r="D169" s="59"/>
      <c r="E169" s="60"/>
      <c r="F169" s="61"/>
      <c r="G169" s="62"/>
      <c r="H169"/>
      <c r="I169" s="78"/>
      <c r="J169" s="64"/>
      <c r="K169" s="65"/>
      <c r="L169" s="86"/>
      <c r="M169" s="67"/>
      <c r="N169" s="68"/>
      <c r="O169" s="2"/>
      <c r="P169" s="2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s="74" customFormat="1" x14ac:dyDescent="0.35">
      <c r="A170" s="2"/>
      <c r="B170" s="58"/>
      <c r="C170" s="59"/>
      <c r="D170" s="59"/>
      <c r="E170" s="60"/>
      <c r="F170" s="61"/>
      <c r="G170" s="62"/>
      <c r="H170"/>
      <c r="I170" s="78"/>
      <c r="J170" s="64"/>
      <c r="K170" s="65"/>
      <c r="L170" s="86"/>
      <c r="M170" s="67"/>
      <c r="N170" s="68"/>
      <c r="O170" s="2"/>
      <c r="P170" s="2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s="74" customFormat="1" x14ac:dyDescent="0.35">
      <c r="A171" s="2"/>
      <c r="B171" s="58"/>
      <c r="C171" s="59"/>
      <c r="D171" s="59"/>
      <c r="E171" s="60"/>
      <c r="F171" s="61"/>
      <c r="G171" s="62"/>
      <c r="H171"/>
      <c r="I171" s="78"/>
      <c r="J171" s="64"/>
      <c r="K171" s="65"/>
      <c r="L171" s="86"/>
      <c r="M171" s="67"/>
      <c r="N171" s="68"/>
      <c r="O171" s="2"/>
      <c r="P171" s="2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s="74" customFormat="1" x14ac:dyDescent="0.35">
      <c r="A172" s="2"/>
      <c r="B172" s="58"/>
      <c r="C172" s="59"/>
      <c r="D172" s="59"/>
      <c r="E172" s="60"/>
      <c r="F172" s="61"/>
      <c r="G172" s="62"/>
      <c r="H172"/>
      <c r="I172" s="78"/>
      <c r="J172" s="64"/>
      <c r="K172" s="65"/>
      <c r="L172" s="86"/>
      <c r="M172" s="67"/>
      <c r="N172" s="68"/>
      <c r="O172" s="2"/>
      <c r="P172" s="2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s="74" customFormat="1" x14ac:dyDescent="0.35">
      <c r="A173" s="2"/>
      <c r="B173" s="58"/>
      <c r="C173" s="59"/>
      <c r="D173" s="59"/>
      <c r="E173" s="60"/>
      <c r="F173" s="61"/>
      <c r="G173" s="62"/>
      <c r="H173"/>
      <c r="I173" s="78"/>
      <c r="J173" s="64"/>
      <c r="K173" s="65"/>
      <c r="L173" s="86"/>
      <c r="M173" s="67"/>
      <c r="N173" s="68"/>
      <c r="O173" s="2"/>
      <c r="P173" s="2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x14ac:dyDescent="0.35">
      <c r="B174" s="58"/>
      <c r="C174" s="59"/>
      <c r="D174" s="59"/>
      <c r="E174" s="60"/>
      <c r="F174" s="61"/>
      <c r="G174" s="62"/>
      <c r="H174"/>
      <c r="I174" s="78"/>
      <c r="J174" s="64"/>
      <c r="K174" s="65"/>
      <c r="L174" s="86"/>
      <c r="M174" s="67"/>
      <c r="N174" s="68"/>
      <c r="O174" s="2"/>
      <c r="P174" s="2"/>
    </row>
    <row r="175" spans="1:26" x14ac:dyDescent="0.35">
      <c r="B175" s="58"/>
      <c r="C175" s="59"/>
      <c r="D175" s="59"/>
      <c r="E175" s="60"/>
      <c r="F175" s="61"/>
      <c r="G175" s="62"/>
      <c r="H175"/>
      <c r="I175" s="78"/>
      <c r="J175" s="64"/>
      <c r="K175" s="65"/>
      <c r="L175" s="86"/>
      <c r="M175" s="67"/>
      <c r="N175" s="68"/>
      <c r="O175" s="2"/>
      <c r="P175" s="2"/>
    </row>
    <row r="176" spans="1:26" x14ac:dyDescent="0.35">
      <c r="B176" s="58"/>
      <c r="C176" s="59"/>
      <c r="D176" s="59"/>
      <c r="E176" s="60"/>
      <c r="F176" s="61"/>
      <c r="G176" s="62"/>
      <c r="H176"/>
      <c r="I176" s="78"/>
      <c r="J176" s="64"/>
      <c r="K176" s="65"/>
      <c r="L176" s="86"/>
      <c r="M176" s="67"/>
      <c r="N176" s="68"/>
      <c r="O176" s="2"/>
      <c r="P176" s="2"/>
    </row>
    <row r="177" spans="2:16" x14ac:dyDescent="0.35">
      <c r="B177" s="58"/>
      <c r="C177" s="59"/>
      <c r="D177" s="59"/>
      <c r="E177" s="60"/>
      <c r="F177" s="61"/>
      <c r="G177" s="62"/>
      <c r="H177"/>
      <c r="I177" s="78"/>
      <c r="J177" s="64"/>
      <c r="L177" s="88"/>
      <c r="M177" s="67"/>
      <c r="N177" s="68"/>
      <c r="O177" s="2"/>
      <c r="P177" s="2"/>
    </row>
    <row r="178" spans="2:16" x14ac:dyDescent="0.35">
      <c r="B178" s="58"/>
      <c r="C178" s="59"/>
      <c r="D178" s="59"/>
      <c r="E178" s="60"/>
      <c r="F178" s="61"/>
      <c r="G178" s="62"/>
      <c r="H178"/>
      <c r="I178" s="78"/>
      <c r="J178" s="64"/>
      <c r="K178" s="65"/>
      <c r="L178" s="86"/>
      <c r="M178" s="67"/>
      <c r="N178" s="68"/>
      <c r="O178" s="2"/>
      <c r="P178" s="2"/>
    </row>
    <row r="179" spans="2:16" x14ac:dyDescent="0.35">
      <c r="B179" s="58"/>
      <c r="C179" s="59"/>
      <c r="D179" s="59"/>
      <c r="E179" s="60"/>
      <c r="F179" s="61"/>
      <c r="G179" s="62"/>
      <c r="H179"/>
      <c r="I179" s="78"/>
      <c r="J179" s="64"/>
      <c r="K179" s="65"/>
      <c r="L179" s="86"/>
      <c r="M179" s="67"/>
      <c r="N179" s="68"/>
      <c r="O179" s="2"/>
      <c r="P179" s="2"/>
    </row>
    <row r="180" spans="2:16" x14ac:dyDescent="0.35">
      <c r="B180" s="58"/>
      <c r="C180" s="59"/>
      <c r="D180" s="59"/>
      <c r="E180" s="60"/>
      <c r="F180" s="61"/>
      <c r="G180" s="62"/>
      <c r="H180"/>
      <c r="I180" s="78"/>
      <c r="J180" s="64"/>
      <c r="K180" s="65"/>
      <c r="L180" s="86"/>
      <c r="M180" s="67"/>
      <c r="N180" s="68"/>
      <c r="O180" s="2"/>
      <c r="P180" s="2"/>
    </row>
    <row r="181" spans="2:16" x14ac:dyDescent="0.35">
      <c r="B181" s="58"/>
      <c r="C181" s="59"/>
      <c r="D181" s="59"/>
      <c r="E181" s="60"/>
      <c r="F181" s="61"/>
      <c r="G181" s="62"/>
      <c r="H181"/>
      <c r="I181" s="78"/>
      <c r="J181" s="64"/>
      <c r="K181" s="65"/>
      <c r="L181" s="86"/>
      <c r="M181" s="67"/>
      <c r="N181" s="68"/>
      <c r="O181" s="2"/>
      <c r="P181" s="2"/>
    </row>
    <row r="182" spans="2:16" x14ac:dyDescent="0.35">
      <c r="B182" s="58"/>
      <c r="C182" s="59"/>
      <c r="D182" s="59"/>
      <c r="E182" s="60"/>
      <c r="F182" s="61"/>
      <c r="G182" s="62"/>
      <c r="H182"/>
      <c r="I182" s="78"/>
      <c r="J182" s="64"/>
      <c r="K182" s="65"/>
      <c r="L182" s="86"/>
      <c r="M182" s="67"/>
      <c r="N182" s="68"/>
      <c r="O182" s="2"/>
      <c r="P182" s="2"/>
    </row>
    <row r="183" spans="2:16" x14ac:dyDescent="0.35">
      <c r="B183" s="58"/>
      <c r="C183" s="59"/>
      <c r="D183" s="59"/>
      <c r="E183" s="60"/>
      <c r="F183" s="61"/>
      <c r="G183" s="62"/>
      <c r="H183"/>
      <c r="I183" s="78"/>
      <c r="J183" s="64"/>
      <c r="K183" s="65"/>
      <c r="L183" s="86"/>
      <c r="M183" s="67"/>
      <c r="N183" s="68"/>
      <c r="O183" s="2"/>
      <c r="P183" s="2"/>
    </row>
    <row r="184" spans="2:16" x14ac:dyDescent="0.35">
      <c r="B184" s="58"/>
      <c r="C184" s="59"/>
      <c r="D184" s="59"/>
      <c r="E184" s="60"/>
      <c r="F184" s="61"/>
      <c r="G184" s="62"/>
      <c r="H184"/>
      <c r="I184" s="78"/>
      <c r="J184" s="64"/>
      <c r="K184" s="65"/>
      <c r="L184" s="86"/>
      <c r="M184" s="67"/>
      <c r="N184" s="68"/>
      <c r="O184" s="2"/>
      <c r="P184" s="2"/>
    </row>
    <row r="185" spans="2:16" ht="18.75" customHeight="1" x14ac:dyDescent="0.35">
      <c r="B185" s="58"/>
      <c r="C185" s="59"/>
      <c r="D185" s="59"/>
      <c r="E185" s="60"/>
      <c r="F185" s="61"/>
      <c r="G185" s="62"/>
      <c r="H185"/>
      <c r="I185" s="78"/>
      <c r="J185" s="64"/>
      <c r="K185" s="65"/>
      <c r="L185" s="86"/>
      <c r="M185" s="67"/>
      <c r="N185" s="68"/>
      <c r="O185" s="2"/>
      <c r="P185" s="2"/>
    </row>
    <row r="186" spans="2:16" x14ac:dyDescent="0.35">
      <c r="B186" s="58"/>
      <c r="C186" s="59"/>
      <c r="D186" s="59"/>
      <c r="E186" s="60"/>
      <c r="F186" s="61"/>
      <c r="G186" s="62"/>
      <c r="H186"/>
      <c r="I186" s="78"/>
      <c r="J186" s="64"/>
      <c r="L186" s="88"/>
      <c r="M186" s="67"/>
      <c r="N186" s="68"/>
      <c r="O186" s="2"/>
      <c r="P186" s="2"/>
    </row>
    <row r="187" spans="2:16" x14ac:dyDescent="0.35">
      <c r="B187" s="58"/>
      <c r="C187" s="59"/>
      <c r="D187" s="59"/>
      <c r="E187" s="60"/>
      <c r="F187" s="61"/>
      <c r="G187" s="62"/>
      <c r="H187"/>
      <c r="I187" s="78"/>
      <c r="J187" s="64"/>
      <c r="L187" s="88"/>
      <c r="M187" s="67"/>
      <c r="N187" s="68"/>
      <c r="O187" s="2"/>
      <c r="P187" s="2"/>
    </row>
    <row r="188" spans="2:16" x14ac:dyDescent="0.35">
      <c r="B188" s="58"/>
      <c r="C188" s="59"/>
      <c r="D188" s="59"/>
      <c r="E188" s="60"/>
      <c r="F188" s="61"/>
      <c r="G188" s="62"/>
      <c r="H188"/>
      <c r="I188" s="78"/>
      <c r="J188" s="64"/>
      <c r="L188" s="88"/>
      <c r="M188" s="67"/>
      <c r="N188" s="68"/>
      <c r="O188" s="2"/>
      <c r="P188" s="2"/>
    </row>
    <row r="189" spans="2:16" x14ac:dyDescent="0.35">
      <c r="B189" s="58"/>
      <c r="C189" s="59"/>
      <c r="D189" s="59"/>
      <c r="E189" s="60"/>
      <c r="F189" s="61"/>
      <c r="G189" s="62"/>
      <c r="H189"/>
      <c r="I189" s="78"/>
      <c r="J189" s="64"/>
      <c r="L189" s="88"/>
      <c r="M189" s="67"/>
      <c r="N189" s="68"/>
      <c r="O189" s="2"/>
      <c r="P189" s="2"/>
    </row>
    <row r="190" spans="2:16" x14ac:dyDescent="0.35">
      <c r="B190" s="58"/>
      <c r="C190" s="59"/>
      <c r="D190" s="59"/>
      <c r="E190" s="60"/>
      <c r="F190" s="61"/>
      <c r="G190" s="62"/>
      <c r="H190"/>
      <c r="I190" s="78"/>
      <c r="J190" s="64"/>
      <c r="L190" s="88"/>
      <c r="M190" s="67"/>
      <c r="N190" s="68"/>
      <c r="O190" s="2"/>
      <c r="P190" s="2"/>
    </row>
    <row r="191" spans="2:16" x14ac:dyDescent="0.35">
      <c r="B191" s="58"/>
      <c r="C191" s="59"/>
      <c r="D191" s="59"/>
      <c r="E191" s="60"/>
      <c r="F191" s="61"/>
      <c r="G191" s="62"/>
      <c r="H191"/>
      <c r="I191" s="78"/>
      <c r="J191" s="64"/>
      <c r="L191" s="88"/>
      <c r="M191" s="67"/>
      <c r="N191" s="68"/>
      <c r="O191" s="2"/>
      <c r="P191" s="2"/>
    </row>
    <row r="192" spans="2:16" x14ac:dyDescent="0.35">
      <c r="B192" s="58"/>
      <c r="C192" s="59"/>
      <c r="D192" s="59"/>
      <c r="E192" s="60"/>
      <c r="F192" s="61"/>
      <c r="G192" s="62"/>
      <c r="H192"/>
      <c r="I192" s="78"/>
      <c r="J192" s="64"/>
      <c r="L192" s="88"/>
      <c r="M192" s="67"/>
      <c r="N192" s="68"/>
      <c r="O192" s="2"/>
      <c r="P192" s="2"/>
    </row>
    <row r="193" spans="2:16" x14ac:dyDescent="0.35">
      <c r="B193" s="58"/>
      <c r="C193" s="59"/>
      <c r="D193" s="59"/>
      <c r="E193" s="60"/>
      <c r="F193" s="61"/>
      <c r="G193" s="62"/>
      <c r="H193"/>
      <c r="I193" s="78"/>
      <c r="J193" s="64"/>
      <c r="L193" s="88"/>
      <c r="M193" s="67"/>
      <c r="N193" s="68"/>
      <c r="O193" s="2"/>
      <c r="P193" s="2"/>
    </row>
    <row r="194" spans="2:16" x14ac:dyDescent="0.35">
      <c r="B194" s="58"/>
      <c r="C194" s="59"/>
      <c r="D194" s="59"/>
      <c r="E194" s="60"/>
      <c r="F194" s="61"/>
      <c r="G194" s="62"/>
      <c r="H194"/>
      <c r="I194" s="78"/>
      <c r="J194" s="64"/>
      <c r="L194" s="88"/>
      <c r="M194" s="67"/>
      <c r="N194" s="68"/>
      <c r="O194" s="2"/>
      <c r="P194" s="2"/>
    </row>
    <row r="195" spans="2:16" x14ac:dyDescent="0.35">
      <c r="B195" s="58"/>
      <c r="C195" s="59"/>
      <c r="D195" s="59"/>
      <c r="E195" s="60"/>
      <c r="F195" s="61"/>
      <c r="G195" s="62"/>
      <c r="H195"/>
      <c r="I195" s="78"/>
      <c r="J195" s="64"/>
      <c r="L195" s="88"/>
      <c r="M195" s="67"/>
      <c r="N195" s="68"/>
      <c r="O195" s="2"/>
      <c r="P195" s="2"/>
    </row>
    <row r="196" spans="2:16" x14ac:dyDescent="0.35">
      <c r="B196" s="58"/>
      <c r="C196" s="59"/>
      <c r="D196" s="59"/>
      <c r="E196" s="60"/>
      <c r="F196" s="61"/>
      <c r="G196" s="62"/>
      <c r="H196"/>
      <c r="I196" s="78"/>
      <c r="J196" s="64"/>
      <c r="L196" s="88"/>
      <c r="M196" s="67"/>
      <c r="N196" s="68"/>
      <c r="O196" s="2"/>
      <c r="P196" s="2"/>
    </row>
    <row r="197" spans="2:16" x14ac:dyDescent="0.35">
      <c r="B197" s="58"/>
      <c r="C197" s="59"/>
      <c r="D197" s="59"/>
      <c r="E197" s="60"/>
      <c r="F197" s="61"/>
      <c r="G197" s="62"/>
      <c r="H197"/>
      <c r="I197" s="78"/>
      <c r="J197" s="64"/>
      <c r="L197" s="88"/>
      <c r="M197" s="67"/>
      <c r="N197" s="68"/>
      <c r="O197" s="2"/>
      <c r="P197" s="2"/>
    </row>
    <row r="198" spans="2:16" x14ac:dyDescent="0.35">
      <c r="B198" s="58"/>
      <c r="C198" s="59"/>
      <c r="D198" s="59"/>
      <c r="E198" s="60"/>
      <c r="F198" s="61"/>
      <c r="G198" s="62"/>
      <c r="H198"/>
      <c r="I198" s="78"/>
      <c r="J198" s="64"/>
      <c r="L198" s="88"/>
      <c r="M198" s="67"/>
      <c r="N198" s="68"/>
      <c r="O198" s="2"/>
      <c r="P198" s="2"/>
    </row>
    <row r="199" spans="2:16" x14ac:dyDescent="0.35">
      <c r="B199" s="58"/>
      <c r="C199" s="59"/>
      <c r="D199" s="59"/>
      <c r="E199" s="60"/>
      <c r="F199" s="61"/>
      <c r="G199" s="62"/>
      <c r="H199"/>
      <c r="I199" s="78"/>
      <c r="J199" s="64"/>
      <c r="L199" s="88"/>
      <c r="M199" s="67"/>
      <c r="N199" s="68"/>
      <c r="O199" s="2"/>
      <c r="P199" s="2"/>
    </row>
    <row r="200" spans="2:16" x14ac:dyDescent="0.35">
      <c r="B200" s="58"/>
      <c r="C200" s="59"/>
      <c r="D200" s="59"/>
      <c r="E200" s="60"/>
      <c r="F200" s="61"/>
      <c r="G200" s="62"/>
      <c r="H200"/>
      <c r="I200" s="78"/>
      <c r="J200" s="64"/>
      <c r="L200" s="88"/>
      <c r="M200" s="67"/>
      <c r="N200" s="68"/>
      <c r="O200" s="2"/>
      <c r="P200" s="2"/>
    </row>
    <row r="201" spans="2:16" x14ac:dyDescent="0.35">
      <c r="B201" s="58"/>
      <c r="C201" s="59"/>
      <c r="D201" s="59"/>
      <c r="E201" s="60"/>
      <c r="F201" s="61"/>
      <c r="G201" s="62"/>
      <c r="H201"/>
      <c r="I201" s="78"/>
      <c r="J201" s="64"/>
      <c r="L201" s="88"/>
      <c r="M201" s="67"/>
      <c r="N201" s="68"/>
      <c r="O201" s="2"/>
      <c r="P201" s="2"/>
    </row>
    <row r="202" spans="2:16" x14ac:dyDescent="0.35">
      <c r="B202" s="58"/>
      <c r="C202" s="59"/>
      <c r="D202" s="59"/>
      <c r="E202" s="60"/>
      <c r="F202" s="61"/>
      <c r="G202" s="62"/>
      <c r="H202"/>
      <c r="I202" s="78"/>
      <c r="J202" s="64"/>
      <c r="L202" s="88"/>
      <c r="M202" s="67"/>
      <c r="N202" s="68"/>
      <c r="O202" s="2"/>
      <c r="P202" s="2"/>
    </row>
    <row r="203" spans="2:16" x14ac:dyDescent="0.35">
      <c r="B203" s="58"/>
      <c r="C203" s="59"/>
      <c r="D203" s="59"/>
      <c r="E203" s="60"/>
      <c r="F203" s="61"/>
      <c r="G203" s="62"/>
      <c r="H203"/>
      <c r="I203" s="78"/>
      <c r="J203" s="64"/>
      <c r="L203" s="88"/>
      <c r="M203" s="67"/>
      <c r="N203" s="68"/>
      <c r="O203" s="2"/>
      <c r="P203" s="2"/>
    </row>
    <row r="204" spans="2:16" x14ac:dyDescent="0.35">
      <c r="B204" s="58"/>
      <c r="C204" s="59"/>
      <c r="D204" s="59"/>
      <c r="E204" s="60"/>
      <c r="F204" s="61"/>
      <c r="G204" s="62"/>
      <c r="H204"/>
      <c r="I204" s="78"/>
      <c r="J204" s="64"/>
      <c r="L204" s="88"/>
      <c r="M204" s="67"/>
      <c r="N204" s="68"/>
      <c r="O204" s="2"/>
      <c r="P204" s="2"/>
    </row>
    <row r="205" spans="2:16" x14ac:dyDescent="0.35">
      <c r="B205" s="58"/>
      <c r="C205" s="59"/>
      <c r="D205" s="59"/>
      <c r="E205" s="60"/>
      <c r="F205" s="61"/>
      <c r="G205" s="62"/>
      <c r="H205"/>
      <c r="I205" s="78"/>
      <c r="J205" s="64"/>
      <c r="L205" s="88"/>
      <c r="M205" s="67"/>
      <c r="N205" s="68"/>
      <c r="O205" s="2"/>
      <c r="P205" s="2"/>
    </row>
    <row r="206" spans="2:16" x14ac:dyDescent="0.35">
      <c r="B206" s="58"/>
      <c r="C206" s="59"/>
      <c r="D206" s="59"/>
      <c r="E206" s="60"/>
      <c r="F206" s="61"/>
      <c r="G206" s="62"/>
      <c r="H206"/>
      <c r="I206" s="78"/>
      <c r="J206" s="64"/>
      <c r="L206" s="88"/>
      <c r="M206" s="67"/>
      <c r="N206" s="68"/>
      <c r="O206" s="2"/>
      <c r="P206" s="2"/>
    </row>
    <row r="207" spans="2:16" x14ac:dyDescent="0.35">
      <c r="B207" s="58"/>
      <c r="C207" s="59"/>
      <c r="D207" s="59"/>
      <c r="E207" s="60"/>
      <c r="F207" s="61"/>
      <c r="G207" s="62"/>
      <c r="H207"/>
      <c r="I207" s="78"/>
      <c r="J207" s="64"/>
      <c r="L207" s="86"/>
      <c r="M207" s="67"/>
      <c r="N207" s="68"/>
      <c r="O207" s="2"/>
      <c r="P207" s="2"/>
    </row>
    <row r="208" spans="2:16" x14ac:dyDescent="0.35">
      <c r="B208" s="58"/>
      <c r="C208" s="59"/>
      <c r="D208" s="59"/>
      <c r="E208" s="60"/>
      <c r="F208" s="61"/>
      <c r="G208" s="62"/>
      <c r="H208"/>
      <c r="I208" s="78"/>
      <c r="J208" s="64"/>
      <c r="L208" s="88"/>
      <c r="M208" s="67"/>
      <c r="N208" s="68"/>
      <c r="O208" s="2"/>
      <c r="P208" s="2"/>
    </row>
    <row r="209" spans="2:16" x14ac:dyDescent="0.35">
      <c r="B209" s="58"/>
      <c r="C209" s="59"/>
      <c r="D209" s="59"/>
      <c r="E209" s="60"/>
      <c r="F209" s="61"/>
      <c r="G209" s="62"/>
      <c r="H209"/>
      <c r="I209" s="78"/>
      <c r="J209" s="64"/>
      <c r="L209" s="88"/>
      <c r="M209" s="67"/>
      <c r="N209" s="68"/>
      <c r="O209" s="2"/>
      <c r="P209" s="2"/>
    </row>
    <row r="210" spans="2:16" x14ac:dyDescent="0.35">
      <c r="B210" s="58"/>
      <c r="C210" s="59"/>
      <c r="D210" s="59"/>
      <c r="E210" s="60"/>
      <c r="F210" s="61"/>
      <c r="G210" s="62"/>
      <c r="H210"/>
      <c r="I210" s="78"/>
      <c r="J210" s="64"/>
      <c r="L210" s="88"/>
      <c r="M210" s="67"/>
      <c r="N210" s="68"/>
      <c r="O210" s="2"/>
      <c r="P210" s="2"/>
    </row>
    <row r="211" spans="2:16" x14ac:dyDescent="0.35">
      <c r="B211" s="58"/>
      <c r="C211" s="59"/>
      <c r="D211" s="59"/>
      <c r="E211" s="60"/>
      <c r="F211" s="61"/>
      <c r="G211" s="62"/>
      <c r="H211"/>
      <c r="I211" s="78"/>
      <c r="J211" s="64"/>
      <c r="L211" s="88"/>
      <c r="M211" s="67"/>
      <c r="N211" s="68"/>
      <c r="O211" s="2"/>
      <c r="P211" s="2"/>
    </row>
    <row r="212" spans="2:16" x14ac:dyDescent="0.35">
      <c r="B212" s="58"/>
      <c r="C212" s="59"/>
      <c r="D212" s="59"/>
      <c r="E212" s="60"/>
      <c r="F212" s="61"/>
      <c r="G212" s="62"/>
      <c r="H212"/>
      <c r="I212" s="78"/>
      <c r="J212" s="64"/>
      <c r="L212" s="88"/>
      <c r="M212" s="67"/>
      <c r="N212" s="68"/>
      <c r="O212" s="2"/>
      <c r="P212" s="2"/>
    </row>
    <row r="213" spans="2:16" x14ac:dyDescent="0.35">
      <c r="B213" s="58"/>
      <c r="C213" s="59"/>
      <c r="D213" s="59"/>
      <c r="E213" s="60"/>
      <c r="F213" s="61"/>
      <c r="G213" s="62"/>
      <c r="H213"/>
      <c r="I213" s="78"/>
      <c r="J213" s="64"/>
      <c r="L213" s="88"/>
      <c r="M213" s="67"/>
      <c r="N213" s="68"/>
      <c r="O213" s="2"/>
      <c r="P213" s="2"/>
    </row>
    <row r="214" spans="2:16" x14ac:dyDescent="0.35">
      <c r="B214" s="58"/>
      <c r="C214" s="59"/>
      <c r="D214" s="59"/>
      <c r="E214" s="60"/>
      <c r="F214" s="61"/>
      <c r="G214" s="62"/>
      <c r="H214"/>
      <c r="I214" s="78"/>
      <c r="J214" s="64"/>
      <c r="L214" s="88"/>
      <c r="M214" s="67"/>
      <c r="N214" s="68"/>
      <c r="O214" s="2"/>
      <c r="P214" s="2"/>
    </row>
    <row r="215" spans="2:16" x14ac:dyDescent="0.35">
      <c r="B215" s="58"/>
      <c r="C215" s="59"/>
      <c r="D215" s="59"/>
      <c r="E215" s="60"/>
      <c r="F215" s="61"/>
      <c r="G215" s="62"/>
      <c r="H215"/>
      <c r="I215" s="78"/>
      <c r="J215" s="64"/>
      <c r="L215" s="88"/>
      <c r="M215" s="67"/>
      <c r="N215" s="68"/>
      <c r="O215" s="2"/>
      <c r="P215" s="2"/>
    </row>
    <row r="216" spans="2:16" x14ac:dyDescent="0.35">
      <c r="B216" s="58"/>
      <c r="C216" s="59"/>
      <c r="D216" s="59"/>
      <c r="E216" s="60"/>
      <c r="F216" s="61"/>
      <c r="G216" s="62"/>
      <c r="H216"/>
      <c r="I216" s="78"/>
      <c r="J216" s="64"/>
      <c r="L216" s="88"/>
      <c r="M216" s="67"/>
      <c r="N216" s="68"/>
      <c r="O216" s="2"/>
      <c r="P216" s="2"/>
    </row>
    <row r="217" spans="2:16" x14ac:dyDescent="0.35">
      <c r="B217" s="58"/>
      <c r="C217" s="59"/>
      <c r="D217" s="59"/>
      <c r="E217" s="60"/>
      <c r="F217" s="61"/>
      <c r="G217" s="62"/>
      <c r="H217"/>
      <c r="I217" s="78"/>
      <c r="J217" s="64"/>
      <c r="L217" s="88"/>
      <c r="M217" s="67"/>
      <c r="N217" s="68"/>
      <c r="O217" s="2"/>
      <c r="P217" s="2"/>
    </row>
    <row r="218" spans="2:16" x14ac:dyDescent="0.35">
      <c r="B218" s="58"/>
      <c r="C218" s="59"/>
      <c r="D218" s="59"/>
      <c r="E218" s="60"/>
      <c r="F218" s="61"/>
      <c r="G218" s="62"/>
      <c r="H218"/>
      <c r="I218" s="78"/>
      <c r="J218" s="64"/>
      <c r="L218" s="75"/>
      <c r="M218" s="67"/>
      <c r="N218" s="68"/>
      <c r="O218" s="2"/>
      <c r="P218" s="2"/>
    </row>
    <row r="219" spans="2:16" x14ac:dyDescent="0.35">
      <c r="B219" s="58"/>
      <c r="C219" s="59"/>
      <c r="D219" s="59"/>
      <c r="E219" s="60"/>
      <c r="F219" s="61"/>
      <c r="G219" s="62"/>
      <c r="H219"/>
      <c r="I219" s="78"/>
      <c r="J219" s="64"/>
      <c r="L219" s="75"/>
      <c r="M219" s="67"/>
      <c r="N219" s="68"/>
      <c r="O219" s="2"/>
      <c r="P219" s="2"/>
    </row>
    <row r="220" spans="2:16" x14ac:dyDescent="0.35">
      <c r="B220" s="58"/>
      <c r="C220" s="59"/>
      <c r="D220" s="59"/>
      <c r="E220" s="60"/>
      <c r="F220" s="61"/>
      <c r="G220" s="62"/>
      <c r="H220"/>
      <c r="I220" s="78"/>
      <c r="J220" s="64"/>
      <c r="L220" s="75"/>
      <c r="M220" s="67"/>
      <c r="N220" s="68"/>
      <c r="O220" s="2"/>
      <c r="P220" s="2"/>
    </row>
    <row r="221" spans="2:16" x14ac:dyDescent="0.35">
      <c r="B221" s="58"/>
      <c r="C221" s="59"/>
      <c r="D221" s="59"/>
      <c r="E221" s="60"/>
      <c r="F221" s="61"/>
      <c r="G221" s="62"/>
      <c r="H221"/>
      <c r="I221" s="78"/>
      <c r="J221" s="64"/>
      <c r="L221" s="75"/>
      <c r="M221" s="67"/>
      <c r="N221" s="68"/>
      <c r="O221" s="2"/>
      <c r="P221" s="2"/>
    </row>
    <row r="222" spans="2:16" x14ac:dyDescent="0.35">
      <c r="B222" s="58"/>
      <c r="C222" s="59"/>
      <c r="D222" s="59"/>
      <c r="E222" s="60"/>
      <c r="F222" s="61"/>
      <c r="G222" s="62"/>
      <c r="H222"/>
      <c r="I222" s="78"/>
      <c r="J222" s="64"/>
      <c r="L222" s="75"/>
      <c r="M222" s="67"/>
      <c r="N222" s="77"/>
      <c r="O222" s="2"/>
      <c r="P222" s="2"/>
    </row>
    <row r="223" spans="2:16" x14ac:dyDescent="0.35">
      <c r="B223" s="58"/>
      <c r="C223" s="59"/>
      <c r="D223" s="59"/>
      <c r="E223" s="60"/>
      <c r="F223" s="61"/>
      <c r="G223" s="62"/>
      <c r="H223"/>
      <c r="I223" s="78"/>
      <c r="J223" s="64"/>
      <c r="L223" s="75"/>
      <c r="M223" s="67"/>
      <c r="N223" s="77"/>
      <c r="O223" s="2"/>
      <c r="P223" s="2"/>
    </row>
    <row r="224" spans="2:16" x14ac:dyDescent="0.35">
      <c r="B224" s="58"/>
      <c r="C224" s="59"/>
      <c r="D224" s="59"/>
      <c r="E224" s="60"/>
      <c r="F224" s="61"/>
      <c r="G224" s="62"/>
      <c r="H224"/>
      <c r="I224" s="78"/>
      <c r="J224" s="64"/>
      <c r="L224" s="75"/>
      <c r="M224" s="67"/>
      <c r="N224" s="77"/>
      <c r="O224" s="2"/>
      <c r="P224" s="2"/>
    </row>
    <row r="225" spans="1:16" x14ac:dyDescent="0.35">
      <c r="B225" s="58"/>
      <c r="C225" s="59"/>
      <c r="D225" s="59"/>
      <c r="E225" s="60"/>
      <c r="F225" s="61"/>
      <c r="G225" s="62"/>
      <c r="H225"/>
      <c r="I225" s="78"/>
      <c r="J225" s="64"/>
      <c r="L225" s="75"/>
      <c r="M225" s="67"/>
      <c r="N225" s="77"/>
      <c r="O225" s="2"/>
      <c r="P225" s="2"/>
    </row>
    <row r="226" spans="1:16" x14ac:dyDescent="0.35">
      <c r="B226" s="58"/>
      <c r="C226" s="59"/>
      <c r="D226" s="59"/>
      <c r="E226" s="60"/>
      <c r="F226" s="61"/>
      <c r="G226" s="62"/>
      <c r="H226"/>
      <c r="I226" s="78"/>
      <c r="J226" s="64"/>
      <c r="L226" s="75"/>
      <c r="M226" s="67"/>
      <c r="N226" s="77"/>
      <c r="O226" s="2"/>
      <c r="P226" s="2"/>
    </row>
    <row r="227" spans="1:16" x14ac:dyDescent="0.35">
      <c r="B227" s="58"/>
      <c r="C227" s="59"/>
      <c r="D227" s="59"/>
      <c r="E227" s="60"/>
      <c r="F227" s="61"/>
      <c r="G227" s="62"/>
      <c r="H227"/>
      <c r="I227" s="78"/>
      <c r="J227" s="64"/>
      <c r="L227" s="75"/>
      <c r="M227" s="67"/>
      <c r="N227" s="77"/>
      <c r="O227" s="2"/>
      <c r="P227" s="2"/>
    </row>
    <row r="228" spans="1:16" x14ac:dyDescent="0.35">
      <c r="B228" s="58"/>
      <c r="C228" s="59"/>
      <c r="D228" s="59"/>
      <c r="E228" s="60"/>
      <c r="F228" s="61"/>
      <c r="G228" s="62"/>
      <c r="H228"/>
      <c r="I228" s="78"/>
      <c r="J228" s="64"/>
      <c r="L228" s="75"/>
      <c r="M228" s="67"/>
      <c r="N228" s="77"/>
      <c r="O228" s="2"/>
      <c r="P228" s="2"/>
    </row>
    <row r="229" spans="1:16" x14ac:dyDescent="0.35">
      <c r="B229" s="58"/>
      <c r="C229" s="59"/>
      <c r="D229" s="59"/>
      <c r="E229" s="60"/>
      <c r="F229" s="61"/>
      <c r="G229" s="62"/>
      <c r="H229"/>
      <c r="I229" s="78"/>
      <c r="J229" s="64"/>
      <c r="L229" s="75"/>
      <c r="M229" s="67"/>
      <c r="N229" s="77"/>
      <c r="O229" s="2"/>
      <c r="P229" s="2"/>
    </row>
    <row r="230" spans="1:16" x14ac:dyDescent="0.35">
      <c r="B230" s="58"/>
      <c r="C230" s="59"/>
      <c r="D230" s="59"/>
      <c r="E230" s="60"/>
      <c r="F230" s="61"/>
      <c r="G230" s="62"/>
      <c r="H230"/>
      <c r="I230" s="78"/>
      <c r="J230" s="64"/>
      <c r="L230" s="75"/>
      <c r="M230" s="67"/>
      <c r="N230" s="77"/>
      <c r="O230" s="2"/>
      <c r="P230" s="2"/>
    </row>
    <row r="231" spans="1:16" s="81" customFormat="1" x14ac:dyDescent="0.35">
      <c r="A231" s="2"/>
      <c r="B231" s="58"/>
      <c r="C231" s="59"/>
      <c r="D231" s="59"/>
      <c r="E231" s="60"/>
      <c r="F231" s="61"/>
      <c r="G231" s="62"/>
      <c r="H231"/>
      <c r="I231" s="78"/>
      <c r="J231" s="64"/>
      <c r="K231" s="74"/>
      <c r="L231" s="75"/>
      <c r="M231" s="67"/>
      <c r="N231" s="77"/>
      <c r="O231" s="87"/>
      <c r="P231" s="87"/>
    </row>
    <row r="232" spans="1:16" x14ac:dyDescent="0.35">
      <c r="A232" s="87"/>
      <c r="B232" s="58"/>
      <c r="C232" s="59"/>
      <c r="D232" s="59"/>
      <c r="E232" s="60"/>
      <c r="F232" s="61"/>
      <c r="G232" s="62"/>
      <c r="H232"/>
      <c r="I232" s="78"/>
      <c r="J232" s="64"/>
      <c r="L232" s="75"/>
      <c r="M232" s="67"/>
      <c r="N232" s="77"/>
      <c r="O232" s="2"/>
      <c r="P232" s="2"/>
    </row>
    <row r="233" spans="1:16" x14ac:dyDescent="0.35">
      <c r="B233" s="58"/>
      <c r="C233" s="59"/>
      <c r="D233" s="59"/>
      <c r="E233" s="60"/>
      <c r="F233" s="61"/>
      <c r="G233" s="62"/>
      <c r="H233"/>
      <c r="I233" s="78"/>
      <c r="J233" s="64"/>
      <c r="L233" s="75"/>
      <c r="M233" s="67"/>
      <c r="N233" s="77"/>
      <c r="O233" s="2"/>
      <c r="P233" s="2"/>
    </row>
    <row r="234" spans="1:16" x14ac:dyDescent="0.35">
      <c r="B234" s="58"/>
      <c r="C234" s="59"/>
      <c r="D234" s="59"/>
      <c r="E234" s="60"/>
      <c r="F234" s="61"/>
      <c r="G234" s="62"/>
      <c r="H234"/>
      <c r="I234" s="78"/>
      <c r="J234" s="64"/>
      <c r="L234" s="75"/>
      <c r="M234" s="67"/>
      <c r="N234" s="77"/>
      <c r="O234" s="2"/>
      <c r="P234" s="2"/>
    </row>
    <row r="235" spans="1:16" x14ac:dyDescent="0.35">
      <c r="B235" s="58"/>
      <c r="C235" s="59"/>
      <c r="D235" s="59"/>
      <c r="E235" s="60"/>
      <c r="F235" s="61"/>
      <c r="G235" s="62"/>
      <c r="H235"/>
      <c r="I235" s="78"/>
      <c r="J235" s="64"/>
      <c r="L235" s="75"/>
      <c r="M235" s="67"/>
      <c r="N235" s="77"/>
      <c r="O235" s="2"/>
      <c r="P235" s="2"/>
    </row>
    <row r="236" spans="1:16" x14ac:dyDescent="0.35">
      <c r="B236" s="58"/>
      <c r="C236" s="59"/>
      <c r="D236" s="59"/>
      <c r="E236" s="60"/>
      <c r="F236" s="61"/>
      <c r="G236" s="62"/>
      <c r="H236"/>
      <c r="I236" s="78"/>
      <c r="J236" s="64"/>
      <c r="L236" s="75"/>
      <c r="M236" s="67"/>
      <c r="N236" s="77"/>
      <c r="O236" s="2"/>
      <c r="P236" s="2"/>
    </row>
    <row r="237" spans="1:16" x14ac:dyDescent="0.35">
      <c r="B237" s="58"/>
      <c r="C237" s="59"/>
      <c r="D237" s="59"/>
      <c r="E237" s="60"/>
      <c r="F237" s="61"/>
      <c r="G237" s="62"/>
      <c r="H237"/>
      <c r="I237" s="78"/>
      <c r="J237" s="64"/>
      <c r="L237" s="75"/>
      <c r="M237" s="67"/>
      <c r="N237" s="77"/>
      <c r="O237" s="2"/>
      <c r="P237" s="2"/>
    </row>
    <row r="238" spans="1:16" x14ac:dyDescent="0.35">
      <c r="B238" s="58"/>
      <c r="C238" s="59"/>
      <c r="D238" s="59"/>
      <c r="E238" s="60"/>
      <c r="F238" s="61"/>
      <c r="G238" s="62"/>
      <c r="H238"/>
      <c r="I238" s="78"/>
      <c r="J238" s="64"/>
      <c r="L238" s="75"/>
      <c r="M238" s="67"/>
      <c r="N238" s="77"/>
      <c r="O238" s="2"/>
      <c r="P238" s="2"/>
    </row>
    <row r="239" spans="1:16" x14ac:dyDescent="0.35">
      <c r="B239" s="58"/>
      <c r="C239" s="59"/>
      <c r="D239" s="59"/>
      <c r="E239" s="60"/>
      <c r="F239" s="61"/>
      <c r="G239" s="62"/>
      <c r="H239"/>
      <c r="I239" s="78"/>
      <c r="J239" s="64"/>
      <c r="L239" s="75"/>
      <c r="M239" s="67"/>
      <c r="N239" s="77"/>
      <c r="O239" s="2"/>
      <c r="P239" s="2"/>
    </row>
    <row r="240" spans="1:16" x14ac:dyDescent="0.35">
      <c r="B240" s="58"/>
      <c r="C240" s="59"/>
      <c r="D240" s="59"/>
      <c r="E240" s="60"/>
      <c r="F240" s="61"/>
      <c r="G240" s="62"/>
      <c r="H240"/>
      <c r="I240" s="78"/>
      <c r="J240" s="64"/>
      <c r="L240" s="75"/>
      <c r="M240" s="67"/>
      <c r="N240" s="77"/>
      <c r="O240" s="2"/>
      <c r="P240" s="2"/>
    </row>
    <row r="241" spans="2:16" x14ac:dyDescent="0.35">
      <c r="B241" s="58"/>
      <c r="C241" s="59"/>
      <c r="D241" s="59"/>
      <c r="E241" s="60"/>
      <c r="F241" s="61"/>
      <c r="G241" s="62"/>
      <c r="H241"/>
      <c r="I241" s="78"/>
      <c r="J241" s="64"/>
      <c r="L241" s="75"/>
      <c r="M241" s="67"/>
      <c r="N241" s="77"/>
      <c r="O241" s="2"/>
      <c r="P241" s="2"/>
    </row>
    <row r="242" spans="2:16" x14ac:dyDescent="0.35">
      <c r="B242" s="58"/>
      <c r="C242" s="59"/>
      <c r="D242" s="59"/>
      <c r="E242" s="60"/>
      <c r="F242" s="61"/>
      <c r="G242" s="62"/>
      <c r="H242"/>
      <c r="I242" s="78"/>
      <c r="J242" s="64"/>
      <c r="L242" s="75"/>
      <c r="M242" s="67"/>
      <c r="N242" s="77"/>
      <c r="O242" s="2"/>
      <c r="P242" s="2"/>
    </row>
    <row r="243" spans="2:16" x14ac:dyDescent="0.35">
      <c r="B243" s="58"/>
      <c r="C243" s="59"/>
      <c r="D243" s="59"/>
      <c r="E243" s="60"/>
      <c r="F243" s="61"/>
      <c r="G243" s="62"/>
      <c r="H243"/>
      <c r="I243" s="78"/>
      <c r="J243" s="64"/>
      <c r="L243" s="75"/>
      <c r="M243" s="67"/>
      <c r="N243" s="77"/>
      <c r="O243" s="2"/>
      <c r="P243" s="2"/>
    </row>
    <row r="244" spans="2:16" x14ac:dyDescent="0.35">
      <c r="B244" s="58"/>
      <c r="C244" s="59"/>
      <c r="D244" s="59"/>
      <c r="E244" s="60"/>
      <c r="F244" s="61"/>
      <c r="G244" s="62"/>
      <c r="H244"/>
      <c r="I244" s="78"/>
      <c r="J244" s="64"/>
      <c r="L244" s="75"/>
      <c r="M244" s="67"/>
      <c r="N244" s="77"/>
      <c r="O244" s="2"/>
      <c r="P244" s="2"/>
    </row>
    <row r="245" spans="2:16" x14ac:dyDescent="0.35">
      <c r="B245" s="58"/>
      <c r="C245" s="59"/>
      <c r="D245" s="59"/>
      <c r="E245" s="60"/>
      <c r="F245" s="61"/>
      <c r="G245" s="62"/>
      <c r="H245"/>
      <c r="I245" s="78"/>
      <c r="J245" s="64"/>
      <c r="L245" s="75"/>
      <c r="M245" s="67"/>
      <c r="N245" s="77"/>
      <c r="O245" s="2"/>
      <c r="P245" s="2"/>
    </row>
    <row r="246" spans="2:16" x14ac:dyDescent="0.35">
      <c r="B246" s="58"/>
      <c r="C246" s="59"/>
      <c r="D246" s="59"/>
      <c r="E246" s="60"/>
      <c r="F246" s="61"/>
      <c r="G246" s="62"/>
      <c r="H246"/>
      <c r="I246" s="78"/>
      <c r="J246" s="64"/>
      <c r="L246" s="75"/>
      <c r="M246" s="67"/>
      <c r="N246" s="77"/>
      <c r="O246" s="2"/>
      <c r="P246" s="2"/>
    </row>
    <row r="247" spans="2:16" x14ac:dyDescent="0.35">
      <c r="B247" s="58"/>
      <c r="C247" s="59"/>
      <c r="D247" s="59"/>
      <c r="E247" s="60"/>
      <c r="F247" s="61"/>
      <c r="G247" s="62"/>
      <c r="H247"/>
      <c r="I247" s="78"/>
      <c r="J247" s="64"/>
      <c r="L247" s="75"/>
      <c r="M247" s="67"/>
      <c r="N247" s="77"/>
      <c r="O247" s="2"/>
      <c r="P247" s="2"/>
    </row>
    <row r="248" spans="2:16" x14ac:dyDescent="0.35">
      <c r="B248" s="58"/>
      <c r="C248" s="59"/>
      <c r="D248" s="59"/>
      <c r="E248" s="60"/>
      <c r="F248" s="61"/>
      <c r="G248" s="62"/>
      <c r="H248"/>
      <c r="I248" s="78"/>
      <c r="J248" s="64"/>
      <c r="L248" s="75"/>
      <c r="M248" s="67"/>
      <c r="N248" s="77"/>
      <c r="O248" s="2"/>
      <c r="P248" s="2"/>
    </row>
    <row r="249" spans="2:16" x14ac:dyDescent="0.35">
      <c r="B249" s="58"/>
      <c r="C249" s="59"/>
      <c r="D249" s="59"/>
      <c r="E249" s="60"/>
      <c r="F249" s="61"/>
      <c r="G249" s="62"/>
      <c r="H249"/>
      <c r="I249" s="78"/>
      <c r="J249" s="64"/>
      <c r="L249" s="75"/>
      <c r="M249" s="67"/>
      <c r="N249" s="77"/>
      <c r="O249" s="2"/>
      <c r="P249" s="2"/>
    </row>
    <row r="250" spans="2:16" x14ac:dyDescent="0.35">
      <c r="B250" s="58"/>
      <c r="C250" s="59"/>
      <c r="D250" s="59"/>
      <c r="E250" s="60"/>
      <c r="F250" s="61"/>
      <c r="G250" s="62"/>
      <c r="H250"/>
      <c r="I250" s="78"/>
      <c r="J250" s="64"/>
      <c r="L250" s="75"/>
      <c r="M250" s="67"/>
      <c r="N250" s="77"/>
      <c r="O250" s="2"/>
      <c r="P250" s="2"/>
    </row>
    <row r="251" spans="2:16" x14ac:dyDescent="0.35">
      <c r="B251" s="58"/>
      <c r="C251" s="59"/>
      <c r="D251" s="59"/>
      <c r="E251" s="60"/>
      <c r="F251" s="61"/>
      <c r="G251" s="62"/>
      <c r="H251"/>
      <c r="I251" s="78"/>
      <c r="J251" s="64"/>
      <c r="L251" s="75"/>
      <c r="M251" s="67"/>
      <c r="N251" s="77"/>
      <c r="O251" s="2"/>
      <c r="P251" s="2"/>
    </row>
    <row r="252" spans="2:16" x14ac:dyDescent="0.35">
      <c r="B252" s="58"/>
      <c r="C252" s="59"/>
      <c r="D252" s="59"/>
      <c r="E252" s="60"/>
      <c r="F252" s="61"/>
      <c r="G252" s="62"/>
      <c r="H252"/>
      <c r="I252" s="78"/>
      <c r="J252" s="64"/>
      <c r="L252" s="75"/>
      <c r="M252" s="67"/>
      <c r="N252" s="77"/>
      <c r="O252" s="2"/>
      <c r="P252" s="2"/>
    </row>
    <row r="253" spans="2:16" x14ac:dyDescent="0.35">
      <c r="B253" s="58"/>
      <c r="C253" s="59"/>
      <c r="D253" s="59"/>
      <c r="E253" s="60"/>
      <c r="F253" s="61"/>
      <c r="G253" s="62"/>
      <c r="H253"/>
      <c r="I253" s="78"/>
      <c r="J253" s="64"/>
      <c r="L253" s="75"/>
      <c r="M253" s="67"/>
      <c r="N253" s="77"/>
      <c r="O253" s="2"/>
      <c r="P253" s="2"/>
    </row>
    <row r="254" spans="2:16" x14ac:dyDescent="0.35">
      <c r="B254" s="58"/>
      <c r="C254" s="59"/>
      <c r="D254" s="59"/>
      <c r="E254" s="60"/>
      <c r="F254" s="61"/>
      <c r="G254" s="62"/>
      <c r="H254"/>
      <c r="I254" s="78"/>
      <c r="J254" s="64"/>
      <c r="L254" s="75"/>
      <c r="M254" s="67"/>
      <c r="N254" s="77"/>
      <c r="O254" s="2"/>
      <c r="P254" s="2"/>
    </row>
    <row r="255" spans="2:16" x14ac:dyDescent="0.35">
      <c r="B255" s="58"/>
      <c r="C255" s="59"/>
      <c r="D255" s="59"/>
      <c r="E255" s="60"/>
      <c r="F255" s="61"/>
      <c r="G255" s="62"/>
      <c r="H255"/>
      <c r="I255" s="78"/>
      <c r="J255" s="64"/>
      <c r="L255" s="75"/>
      <c r="M255" s="67"/>
      <c r="N255" s="77"/>
      <c r="O255" s="2"/>
      <c r="P255" s="2"/>
    </row>
    <row r="256" spans="2:16" x14ac:dyDescent="0.35">
      <c r="B256" s="58"/>
      <c r="C256" s="59"/>
      <c r="D256" s="59"/>
      <c r="E256" s="60"/>
      <c r="F256" s="61"/>
      <c r="G256" s="62"/>
      <c r="H256"/>
      <c r="I256" s="78"/>
      <c r="J256" s="64"/>
      <c r="L256" s="75"/>
      <c r="M256" s="67"/>
      <c r="N256" s="77"/>
      <c r="O256" s="2"/>
      <c r="P256" s="2"/>
    </row>
    <row r="257" spans="2:16" x14ac:dyDescent="0.35">
      <c r="B257" s="58"/>
      <c r="C257" s="59"/>
      <c r="D257" s="59"/>
      <c r="E257" s="60"/>
      <c r="F257" s="61"/>
      <c r="G257" s="62"/>
      <c r="H257"/>
      <c r="I257" s="78"/>
      <c r="J257" s="64"/>
      <c r="L257" s="75"/>
      <c r="M257" s="67"/>
      <c r="N257" s="77"/>
      <c r="O257" s="2"/>
      <c r="P257" s="2"/>
    </row>
    <row r="258" spans="2:16" x14ac:dyDescent="0.35">
      <c r="B258" s="58"/>
      <c r="C258" s="59"/>
      <c r="D258" s="59"/>
      <c r="E258" s="60"/>
      <c r="F258" s="61"/>
      <c r="G258" s="62"/>
      <c r="H258"/>
      <c r="I258" s="78"/>
      <c r="J258" s="64"/>
      <c r="L258" s="75"/>
      <c r="M258" s="67"/>
      <c r="N258" s="77"/>
      <c r="O258" s="2"/>
      <c r="P258" s="2"/>
    </row>
    <row r="259" spans="2:16" x14ac:dyDescent="0.35">
      <c r="B259" s="58"/>
      <c r="C259" s="59"/>
      <c r="D259" s="59"/>
      <c r="E259" s="60"/>
      <c r="F259" s="61"/>
      <c r="G259" s="62"/>
      <c r="H259"/>
      <c r="I259" s="78"/>
      <c r="J259" s="64"/>
      <c r="L259" s="75"/>
      <c r="M259" s="67"/>
      <c r="N259" s="77"/>
      <c r="O259" s="2"/>
      <c r="P259" s="2"/>
    </row>
    <row r="260" spans="2:16" x14ac:dyDescent="0.35">
      <c r="B260" s="58"/>
      <c r="C260" s="59"/>
      <c r="D260" s="59"/>
      <c r="E260" s="60"/>
      <c r="F260" s="61"/>
      <c r="G260" s="62"/>
      <c r="H260"/>
      <c r="I260" s="78"/>
      <c r="J260" s="64"/>
      <c r="L260" s="75"/>
      <c r="M260" s="67"/>
      <c r="N260" s="77"/>
      <c r="O260" s="2"/>
      <c r="P260" s="2"/>
    </row>
    <row r="261" spans="2:16" x14ac:dyDescent="0.35">
      <c r="B261" s="58"/>
      <c r="C261" s="59"/>
      <c r="D261" s="59"/>
      <c r="E261" s="60"/>
      <c r="F261" s="61"/>
      <c r="G261" s="62"/>
      <c r="H261"/>
      <c r="I261" s="78"/>
      <c r="J261" s="64"/>
      <c r="L261" s="75"/>
      <c r="M261" s="67"/>
      <c r="N261" s="77"/>
      <c r="O261" s="2"/>
      <c r="P261" s="2"/>
    </row>
    <row r="262" spans="2:16" x14ac:dyDescent="0.35">
      <c r="B262" s="58"/>
      <c r="C262" s="59"/>
      <c r="D262" s="59"/>
      <c r="E262" s="60"/>
      <c r="F262" s="61"/>
      <c r="G262" s="62"/>
      <c r="H262"/>
      <c r="I262" s="78"/>
      <c r="J262" s="64"/>
      <c r="L262" s="75"/>
      <c r="M262" s="67"/>
      <c r="N262" s="77"/>
      <c r="O262" s="2"/>
      <c r="P262" s="2"/>
    </row>
    <row r="263" spans="2:16" x14ac:dyDescent="0.35">
      <c r="B263" s="58"/>
      <c r="C263" s="59"/>
      <c r="D263" s="59"/>
      <c r="E263" s="60"/>
      <c r="F263" s="61"/>
      <c r="G263" s="62"/>
      <c r="H263"/>
      <c r="I263" s="78"/>
      <c r="J263" s="64"/>
      <c r="L263" s="75"/>
      <c r="M263" s="67"/>
      <c r="N263" s="77"/>
      <c r="O263" s="2"/>
      <c r="P263" s="2"/>
    </row>
    <row r="264" spans="2:16" x14ac:dyDescent="0.35">
      <c r="B264" s="58"/>
      <c r="C264" s="59"/>
      <c r="D264" s="59"/>
      <c r="E264" s="60"/>
      <c r="F264" s="61"/>
      <c r="G264" s="62"/>
      <c r="H264"/>
      <c r="I264" s="78"/>
      <c r="J264" s="64"/>
      <c r="L264" s="75"/>
      <c r="M264" s="67"/>
      <c r="N264" s="77"/>
      <c r="O264" s="2"/>
      <c r="P264" s="2"/>
    </row>
    <row r="265" spans="2:16" x14ac:dyDescent="0.35">
      <c r="B265" s="58"/>
      <c r="C265" s="59"/>
      <c r="D265" s="59"/>
      <c r="E265" s="60"/>
      <c r="F265" s="61"/>
      <c r="G265" s="62"/>
      <c r="H265"/>
      <c r="I265" s="78"/>
      <c r="J265" s="64"/>
      <c r="L265" s="75"/>
      <c r="M265" s="67"/>
      <c r="N265" s="77"/>
      <c r="O265" s="2"/>
      <c r="P265" s="2"/>
    </row>
    <row r="266" spans="2:16" x14ac:dyDescent="0.35">
      <c r="B266" s="58"/>
      <c r="C266" s="59"/>
      <c r="D266" s="59"/>
      <c r="E266" s="60"/>
      <c r="F266" s="61"/>
      <c r="G266" s="62"/>
      <c r="H266"/>
      <c r="I266" s="78"/>
      <c r="J266" s="64"/>
      <c r="L266" s="75"/>
      <c r="M266" s="67"/>
      <c r="N266" s="77"/>
      <c r="O266" s="2"/>
      <c r="P266" s="2"/>
    </row>
    <row r="267" spans="2:16" x14ac:dyDescent="0.35">
      <c r="B267" s="58"/>
      <c r="C267" s="59"/>
      <c r="D267" s="59"/>
      <c r="E267" s="60"/>
      <c r="F267" s="61"/>
      <c r="G267" s="62"/>
      <c r="H267"/>
      <c r="I267" s="78"/>
      <c r="J267" s="64"/>
      <c r="L267" s="75"/>
      <c r="M267" s="67"/>
      <c r="N267" s="77"/>
      <c r="O267" s="2"/>
      <c r="P267" s="2"/>
    </row>
    <row r="268" spans="2:16" x14ac:dyDescent="0.35">
      <c r="B268" s="58"/>
      <c r="C268" s="59"/>
      <c r="D268" s="59"/>
      <c r="E268" s="60"/>
      <c r="F268" s="61"/>
      <c r="G268" s="62"/>
      <c r="H268"/>
      <c r="I268" s="78"/>
      <c r="J268" s="64"/>
      <c r="L268" s="75"/>
      <c r="M268" s="67"/>
      <c r="N268" s="77"/>
      <c r="O268" s="2"/>
      <c r="P268" s="2"/>
    </row>
    <row r="269" spans="2:16" x14ac:dyDescent="0.35">
      <c r="B269" s="58"/>
      <c r="C269" s="59"/>
      <c r="D269" s="59"/>
      <c r="E269" s="60"/>
      <c r="F269" s="61"/>
      <c r="G269" s="62"/>
      <c r="H269"/>
      <c r="I269" s="78"/>
      <c r="J269" s="64"/>
      <c r="L269" s="75"/>
      <c r="M269" s="67"/>
      <c r="N269" s="77"/>
      <c r="O269" s="2"/>
      <c r="P269" s="2"/>
    </row>
    <row r="270" spans="2:16" x14ac:dyDescent="0.35">
      <c r="B270" s="58"/>
      <c r="C270" s="59"/>
      <c r="D270" s="59"/>
      <c r="E270" s="60"/>
      <c r="F270" s="61"/>
      <c r="G270" s="62"/>
      <c r="H270"/>
      <c r="I270" s="78"/>
      <c r="J270" s="64"/>
      <c r="L270" s="75"/>
      <c r="M270" s="67"/>
      <c r="N270" s="77"/>
      <c r="O270" s="2"/>
      <c r="P270" s="2"/>
    </row>
    <row r="271" spans="2:16" x14ac:dyDescent="0.35">
      <c r="B271" s="58"/>
      <c r="C271" s="59"/>
      <c r="D271" s="59"/>
      <c r="E271" s="60"/>
      <c r="F271" s="61"/>
      <c r="G271" s="62"/>
      <c r="H271"/>
      <c r="I271" s="78"/>
      <c r="J271" s="64"/>
      <c r="L271" s="75"/>
      <c r="M271" s="67"/>
      <c r="N271" s="77"/>
      <c r="O271" s="2"/>
      <c r="P271" s="2"/>
    </row>
    <row r="272" spans="2:16" x14ac:dyDescent="0.35">
      <c r="B272" s="58"/>
      <c r="C272" s="59"/>
      <c r="D272" s="59"/>
      <c r="E272" s="60"/>
      <c r="F272" s="61"/>
      <c r="G272" s="62"/>
      <c r="H272"/>
      <c r="I272" s="78"/>
      <c r="J272" s="64"/>
      <c r="L272" s="75"/>
      <c r="M272" s="67"/>
      <c r="N272" s="77"/>
      <c r="O272" s="2"/>
      <c r="P272" s="2"/>
    </row>
    <row r="273" spans="2:16" x14ac:dyDescent="0.35">
      <c r="B273" s="58"/>
      <c r="C273" s="59"/>
      <c r="D273" s="59"/>
      <c r="E273" s="60"/>
      <c r="F273" s="61"/>
      <c r="G273" s="62"/>
      <c r="H273"/>
      <c r="I273" s="78"/>
      <c r="J273" s="64"/>
      <c r="L273" s="75"/>
      <c r="M273" s="67"/>
      <c r="N273" s="77"/>
      <c r="O273" s="2"/>
      <c r="P273" s="2"/>
    </row>
    <row r="274" spans="2:16" x14ac:dyDescent="0.35">
      <c r="B274" s="58"/>
      <c r="C274" s="59"/>
      <c r="D274" s="59"/>
      <c r="E274" s="60"/>
      <c r="F274" s="61"/>
      <c r="G274" s="62"/>
      <c r="H274"/>
      <c r="I274" s="78"/>
      <c r="J274" s="64"/>
      <c r="L274" s="75"/>
      <c r="M274" s="67"/>
      <c r="N274" s="77"/>
      <c r="O274" s="2"/>
      <c r="P274" s="2"/>
    </row>
    <row r="275" spans="2:16" x14ac:dyDescent="0.35">
      <c r="B275" s="58"/>
      <c r="C275" s="59"/>
      <c r="D275" s="59"/>
      <c r="E275" s="60"/>
      <c r="F275" s="61"/>
      <c r="G275" s="62"/>
      <c r="H275"/>
      <c r="I275" s="78"/>
      <c r="J275" s="64"/>
      <c r="L275" s="75"/>
      <c r="M275" s="67"/>
      <c r="N275" s="77"/>
      <c r="O275" s="2"/>
      <c r="P275" s="2"/>
    </row>
    <row r="276" spans="2:16" x14ac:dyDescent="0.35">
      <c r="B276" s="58"/>
      <c r="C276" s="59"/>
      <c r="D276" s="59"/>
      <c r="E276" s="60"/>
      <c r="F276" s="61"/>
      <c r="G276" s="62"/>
      <c r="H276"/>
      <c r="I276" s="78"/>
      <c r="J276" s="64"/>
      <c r="L276" s="75"/>
      <c r="M276" s="67"/>
      <c r="N276" s="77"/>
      <c r="O276" s="2"/>
      <c r="P276" s="2"/>
    </row>
    <row r="277" spans="2:16" x14ac:dyDescent="0.35">
      <c r="B277" s="58"/>
      <c r="C277" s="59"/>
      <c r="D277" s="59"/>
      <c r="E277" s="60"/>
      <c r="F277" s="61"/>
      <c r="G277" s="62"/>
      <c r="H277"/>
      <c r="I277" s="78"/>
      <c r="J277" s="64"/>
      <c r="L277" s="75"/>
      <c r="M277" s="67"/>
      <c r="N277" s="77"/>
      <c r="O277" s="2"/>
      <c r="P277" s="2"/>
    </row>
    <row r="278" spans="2:16" x14ac:dyDescent="0.35">
      <c r="B278" s="58"/>
      <c r="C278" s="59"/>
      <c r="D278" s="59"/>
      <c r="E278" s="60"/>
      <c r="F278" s="61"/>
      <c r="G278" s="62"/>
      <c r="H278"/>
      <c r="I278" s="78"/>
      <c r="J278" s="64"/>
      <c r="L278" s="75"/>
      <c r="M278" s="67"/>
      <c r="N278" s="77"/>
      <c r="O278" s="2"/>
      <c r="P278" s="2"/>
    </row>
    <row r="279" spans="2:16" x14ac:dyDescent="0.35">
      <c r="B279" s="58"/>
      <c r="C279" s="59"/>
      <c r="D279" s="59"/>
      <c r="E279" s="60"/>
      <c r="F279" s="61"/>
      <c r="G279" s="62"/>
      <c r="H279"/>
      <c r="I279" s="78"/>
      <c r="J279" s="64"/>
      <c r="L279" s="75"/>
      <c r="M279" s="67"/>
      <c r="N279" s="77"/>
      <c r="O279" s="2"/>
      <c r="P279" s="2"/>
    </row>
    <row r="280" spans="2:16" x14ac:dyDescent="0.35">
      <c r="B280" s="58"/>
      <c r="C280" s="59"/>
      <c r="D280" s="59"/>
      <c r="E280" s="60"/>
      <c r="F280" s="61"/>
      <c r="G280" s="62"/>
      <c r="H280"/>
      <c r="I280" s="78"/>
      <c r="J280" s="64"/>
      <c r="L280" s="75"/>
      <c r="M280" s="67"/>
      <c r="N280" s="77"/>
      <c r="O280" s="2"/>
      <c r="P280" s="2"/>
    </row>
    <row r="281" spans="2:16" x14ac:dyDescent="0.35">
      <c r="B281" s="58"/>
      <c r="C281" s="59"/>
      <c r="D281" s="59"/>
      <c r="E281" s="60"/>
      <c r="F281" s="61"/>
      <c r="G281" s="62"/>
      <c r="H281"/>
      <c r="I281" s="78"/>
      <c r="J281" s="64"/>
      <c r="L281" s="75"/>
      <c r="M281" s="67"/>
      <c r="N281" s="77"/>
      <c r="O281" s="2"/>
      <c r="P281" s="2"/>
    </row>
    <row r="282" spans="2:16" x14ac:dyDescent="0.35">
      <c r="B282" s="58"/>
      <c r="C282" s="59"/>
      <c r="D282" s="59"/>
      <c r="E282" s="60"/>
      <c r="F282" s="61"/>
      <c r="G282" s="62"/>
      <c r="H282"/>
      <c r="I282" s="78"/>
      <c r="J282" s="64"/>
      <c r="L282" s="75"/>
      <c r="M282" s="67"/>
      <c r="N282" s="77"/>
      <c r="O282" s="2"/>
      <c r="P282" s="2"/>
    </row>
    <row r="283" spans="2:16" x14ac:dyDescent="0.35">
      <c r="B283" s="58"/>
      <c r="C283" s="59"/>
      <c r="D283" s="59"/>
      <c r="E283" s="60"/>
      <c r="F283" s="61"/>
      <c r="G283" s="62"/>
      <c r="H283"/>
      <c r="I283" s="78"/>
      <c r="J283" s="64"/>
      <c r="L283" s="75"/>
      <c r="M283" s="67"/>
      <c r="N283" s="77"/>
      <c r="O283" s="2"/>
      <c r="P283" s="2"/>
    </row>
    <row r="284" spans="2:16" x14ac:dyDescent="0.35">
      <c r="B284" s="58"/>
      <c r="C284" s="59"/>
      <c r="D284" s="59"/>
      <c r="E284" s="60"/>
      <c r="F284" s="61"/>
      <c r="G284" s="62"/>
      <c r="H284"/>
      <c r="I284" s="78"/>
      <c r="J284" s="64"/>
      <c r="L284" s="75"/>
      <c r="M284" s="67"/>
      <c r="N284" s="77"/>
      <c r="O284" s="2"/>
      <c r="P284" s="2"/>
    </row>
    <row r="285" spans="2:16" x14ac:dyDescent="0.35">
      <c r="B285" s="58"/>
      <c r="C285" s="59"/>
      <c r="D285" s="59"/>
      <c r="E285" s="60"/>
      <c r="F285" s="61"/>
      <c r="G285" s="62"/>
      <c r="H285"/>
      <c r="I285" s="78"/>
      <c r="J285" s="64"/>
      <c r="L285" s="75"/>
      <c r="M285" s="67"/>
      <c r="N285" s="77"/>
      <c r="O285" s="2"/>
      <c r="P285" s="2"/>
    </row>
    <row r="286" spans="2:16" x14ac:dyDescent="0.35">
      <c r="B286" s="58"/>
      <c r="C286" s="59"/>
      <c r="D286" s="59"/>
      <c r="E286" s="60"/>
      <c r="F286" s="61"/>
      <c r="G286" s="62"/>
      <c r="H286"/>
      <c r="I286" s="78"/>
      <c r="J286" s="64"/>
      <c r="L286" s="75"/>
      <c r="M286" s="67"/>
      <c r="N286" s="77"/>
      <c r="O286" s="2"/>
      <c r="P286" s="2"/>
    </row>
    <row r="287" spans="2:16" x14ac:dyDescent="0.35">
      <c r="B287" s="58"/>
      <c r="C287" s="59"/>
      <c r="D287" s="59"/>
      <c r="E287" s="60"/>
      <c r="F287" s="61"/>
      <c r="G287" s="62"/>
      <c r="H287"/>
      <c r="I287" s="78"/>
      <c r="J287" s="64"/>
      <c r="L287" s="75"/>
      <c r="M287" s="67"/>
      <c r="N287" s="77"/>
      <c r="O287" s="2"/>
      <c r="P287" s="2"/>
    </row>
    <row r="288" spans="2:16" x14ac:dyDescent="0.35">
      <c r="B288" s="58"/>
      <c r="C288" s="59"/>
      <c r="D288" s="59"/>
      <c r="E288" s="60"/>
      <c r="F288" s="61"/>
      <c r="G288" s="62"/>
      <c r="H288"/>
      <c r="I288" s="78"/>
      <c r="J288" s="64"/>
      <c r="L288" s="75"/>
      <c r="M288" s="67"/>
      <c r="N288" s="77"/>
      <c r="O288" s="2"/>
      <c r="P288" s="2"/>
    </row>
    <row r="289" spans="2:16" x14ac:dyDescent="0.35">
      <c r="B289" s="58"/>
      <c r="C289" s="59"/>
      <c r="D289" s="59"/>
      <c r="E289" s="60"/>
      <c r="F289" s="61"/>
      <c r="G289" s="62"/>
      <c r="H289"/>
      <c r="I289" s="78"/>
      <c r="J289" s="64"/>
      <c r="L289" s="75"/>
      <c r="M289" s="67"/>
      <c r="N289" s="77"/>
      <c r="O289" s="2"/>
      <c r="P289" s="2"/>
    </row>
    <row r="290" spans="2:16" x14ac:dyDescent="0.35">
      <c r="B290" s="58"/>
      <c r="C290" s="59"/>
      <c r="D290" s="59"/>
      <c r="E290" s="60"/>
      <c r="F290" s="61"/>
      <c r="G290" s="62"/>
      <c r="H290"/>
      <c r="I290" s="78"/>
      <c r="J290" s="64"/>
      <c r="L290" s="75"/>
      <c r="M290" s="67"/>
      <c r="N290" s="77"/>
      <c r="O290" s="2"/>
      <c r="P290" s="2"/>
    </row>
    <row r="291" spans="2:16" x14ac:dyDescent="0.35">
      <c r="B291" s="58"/>
      <c r="C291" s="59"/>
      <c r="D291" s="59"/>
      <c r="E291" s="60"/>
      <c r="F291" s="61"/>
      <c r="G291" s="62"/>
      <c r="H291"/>
      <c r="I291" s="78"/>
      <c r="J291" s="64"/>
      <c r="L291" s="75"/>
      <c r="M291" s="67"/>
      <c r="N291" s="77"/>
      <c r="O291" s="2"/>
      <c r="P291" s="2"/>
    </row>
    <row r="292" spans="2:16" x14ac:dyDescent="0.35">
      <c r="B292" s="58"/>
      <c r="C292" s="59"/>
      <c r="D292" s="59"/>
      <c r="E292" s="60"/>
      <c r="F292" s="61"/>
      <c r="G292" s="62"/>
      <c r="H292"/>
      <c r="I292" s="78"/>
      <c r="J292" s="64"/>
      <c r="L292" s="75"/>
      <c r="M292" s="67"/>
      <c r="N292" s="77"/>
      <c r="O292" s="2"/>
      <c r="P292" s="2"/>
    </row>
    <row r="293" spans="2:16" x14ac:dyDescent="0.35">
      <c r="B293" s="58"/>
      <c r="C293" s="59"/>
      <c r="D293" s="59"/>
      <c r="E293" s="60"/>
      <c r="F293" s="61"/>
      <c r="G293" s="62"/>
      <c r="H293"/>
      <c r="I293" s="78"/>
      <c r="J293" s="64"/>
      <c r="L293" s="75"/>
      <c r="M293" s="67"/>
      <c r="N293" s="77"/>
      <c r="O293" s="2"/>
      <c r="P293" s="2"/>
    </row>
    <row r="294" spans="2:16" x14ac:dyDescent="0.35">
      <c r="B294" s="58"/>
      <c r="C294" s="59"/>
      <c r="D294" s="59"/>
      <c r="E294" s="60"/>
      <c r="F294" s="61"/>
      <c r="G294" s="62"/>
      <c r="H294"/>
      <c r="I294" s="78"/>
      <c r="J294" s="64"/>
      <c r="L294" s="75"/>
      <c r="M294" s="67"/>
      <c r="N294" s="77"/>
      <c r="O294" s="2"/>
      <c r="P294" s="2"/>
    </row>
    <row r="295" spans="2:16" x14ac:dyDescent="0.35">
      <c r="B295" s="58"/>
      <c r="C295" s="59"/>
      <c r="D295" s="59"/>
      <c r="E295" s="60"/>
      <c r="F295" s="61"/>
      <c r="G295" s="62"/>
      <c r="H295"/>
      <c r="I295" s="78"/>
      <c r="J295" s="64"/>
      <c r="L295" s="75"/>
      <c r="M295" s="67"/>
      <c r="N295" s="77"/>
      <c r="O295" s="2"/>
      <c r="P295" s="2"/>
    </row>
    <row r="296" spans="2:16" x14ac:dyDescent="0.35">
      <c r="B296" s="58"/>
      <c r="C296" s="59"/>
      <c r="D296" s="59"/>
      <c r="E296" s="60"/>
      <c r="F296" s="61"/>
      <c r="G296" s="62"/>
      <c r="H296"/>
      <c r="I296" s="78"/>
      <c r="J296" s="64"/>
      <c r="L296" s="75"/>
      <c r="M296" s="67"/>
      <c r="N296" s="77"/>
      <c r="O296" s="2"/>
      <c r="P296" s="2"/>
    </row>
    <row r="297" spans="2:16" x14ac:dyDescent="0.35">
      <c r="B297" s="58"/>
      <c r="C297" s="59"/>
      <c r="D297" s="59"/>
      <c r="E297" s="60"/>
      <c r="F297" s="61"/>
      <c r="G297" s="62"/>
      <c r="H297"/>
      <c r="I297" s="78"/>
      <c r="J297" s="64"/>
      <c r="L297" s="75"/>
      <c r="M297" s="67"/>
      <c r="N297" s="77"/>
      <c r="O297" s="2"/>
      <c r="P297" s="2"/>
    </row>
    <row r="298" spans="2:16" x14ac:dyDescent="0.35">
      <c r="B298" s="58"/>
      <c r="C298" s="59"/>
      <c r="D298" s="59"/>
      <c r="E298" s="60"/>
      <c r="F298" s="61"/>
      <c r="G298" s="62"/>
      <c r="H298"/>
      <c r="I298" s="78"/>
      <c r="J298" s="64"/>
      <c r="L298" s="75"/>
      <c r="M298" s="67"/>
      <c r="N298" s="77"/>
      <c r="O298" s="2"/>
      <c r="P298" s="2"/>
    </row>
    <row r="299" spans="2:16" x14ac:dyDescent="0.35">
      <c r="B299" s="58"/>
      <c r="C299" s="59"/>
      <c r="D299" s="59"/>
      <c r="E299" s="60"/>
      <c r="F299" s="61"/>
      <c r="G299" s="62"/>
      <c r="H299"/>
      <c r="I299" s="78"/>
      <c r="J299" s="64"/>
      <c r="L299" s="88"/>
      <c r="M299" s="67"/>
      <c r="N299" s="77"/>
      <c r="O299" s="2"/>
      <c r="P299" s="2"/>
    </row>
    <row r="300" spans="2:16" x14ac:dyDescent="0.35">
      <c r="B300" s="58"/>
      <c r="C300" s="59"/>
      <c r="D300" s="59"/>
      <c r="E300" s="60"/>
      <c r="F300" s="61"/>
      <c r="G300" s="62"/>
      <c r="H300"/>
      <c r="I300" s="78"/>
      <c r="J300" s="64"/>
      <c r="L300" s="88"/>
      <c r="M300" s="67"/>
      <c r="N300" s="77"/>
      <c r="O300" s="2"/>
      <c r="P300" s="2"/>
    </row>
    <row r="301" spans="2:16" x14ac:dyDescent="0.35">
      <c r="B301" s="58"/>
      <c r="C301" s="59"/>
      <c r="D301" s="59"/>
      <c r="E301" s="60"/>
      <c r="F301" s="61"/>
      <c r="G301" s="62"/>
      <c r="H301"/>
      <c r="I301" s="78"/>
      <c r="J301" s="64"/>
      <c r="L301" s="88"/>
      <c r="M301" s="67"/>
      <c r="N301" s="77"/>
      <c r="O301" s="2"/>
      <c r="P301" s="2"/>
    </row>
    <row r="302" spans="2:16" x14ac:dyDescent="0.35">
      <c r="B302" s="58"/>
      <c r="C302" s="59"/>
      <c r="D302" s="59"/>
      <c r="E302" s="60"/>
      <c r="F302" s="61"/>
      <c r="G302" s="62"/>
      <c r="H302"/>
      <c r="I302" s="78"/>
      <c r="J302" s="64"/>
      <c r="L302" s="88"/>
      <c r="M302" s="67"/>
      <c r="N302" s="77"/>
      <c r="O302" s="2"/>
      <c r="P302" s="2"/>
    </row>
    <row r="303" spans="2:16" x14ac:dyDescent="0.35">
      <c r="B303" s="58"/>
      <c r="C303" s="59"/>
      <c r="D303" s="59"/>
      <c r="E303" s="60"/>
      <c r="F303" s="61"/>
      <c r="G303" s="62"/>
      <c r="H303"/>
      <c r="I303" s="78"/>
      <c r="J303" s="64"/>
      <c r="L303" s="88"/>
      <c r="M303" s="67"/>
      <c r="N303" s="77"/>
      <c r="O303" s="2"/>
      <c r="P303" s="2"/>
    </row>
    <row r="304" spans="2:16" x14ac:dyDescent="0.35">
      <c r="B304" s="58"/>
      <c r="C304" s="59"/>
      <c r="D304" s="59"/>
      <c r="E304" s="60"/>
      <c r="F304" s="61"/>
      <c r="G304" s="62"/>
      <c r="H304"/>
      <c r="I304" s="78"/>
      <c r="J304" s="64"/>
      <c r="L304" s="88"/>
      <c r="M304" s="67"/>
      <c r="N304" s="77"/>
      <c r="O304" s="2"/>
      <c r="P304" s="2"/>
    </row>
    <row r="305" spans="2:16" x14ac:dyDescent="0.35">
      <c r="B305" s="58"/>
      <c r="C305" s="59"/>
      <c r="D305" s="59"/>
      <c r="E305" s="60"/>
      <c r="F305" s="61"/>
      <c r="G305" s="62"/>
      <c r="H305"/>
      <c r="I305" s="78"/>
      <c r="J305" s="64"/>
      <c r="L305" s="88"/>
      <c r="M305" s="67"/>
      <c r="N305" s="77"/>
      <c r="O305" s="2"/>
      <c r="P305" s="2"/>
    </row>
    <row r="306" spans="2:16" x14ac:dyDescent="0.35">
      <c r="B306" s="58"/>
      <c r="C306" s="59"/>
      <c r="D306" s="59"/>
      <c r="E306" s="60"/>
      <c r="F306" s="61"/>
      <c r="G306" s="62"/>
      <c r="H306"/>
      <c r="I306" s="78"/>
      <c r="J306" s="64"/>
      <c r="L306" s="88"/>
      <c r="M306" s="67"/>
      <c r="N306" s="77"/>
      <c r="O306" s="2"/>
      <c r="P306" s="2"/>
    </row>
    <row r="307" spans="2:16" x14ac:dyDescent="0.35">
      <c r="B307" s="58"/>
      <c r="C307" s="59"/>
      <c r="D307" s="59"/>
      <c r="E307" s="60"/>
      <c r="F307" s="61"/>
      <c r="G307" s="62"/>
      <c r="H307"/>
      <c r="I307" s="78"/>
      <c r="J307" s="64"/>
      <c r="L307" s="88"/>
      <c r="M307" s="67"/>
      <c r="N307" s="77"/>
      <c r="O307" s="2"/>
      <c r="P307" s="2"/>
    </row>
    <row r="308" spans="2:16" x14ac:dyDescent="0.35">
      <c r="B308" s="58"/>
      <c r="C308" s="59"/>
      <c r="D308" s="59"/>
      <c r="E308" s="60"/>
      <c r="F308" s="61"/>
      <c r="G308" s="62"/>
      <c r="H308"/>
      <c r="I308" s="78"/>
      <c r="J308" s="64"/>
      <c r="L308" s="88"/>
      <c r="M308" s="67"/>
      <c r="N308" s="77"/>
      <c r="O308" s="2"/>
      <c r="P308" s="2"/>
    </row>
    <row r="309" spans="2:16" x14ac:dyDescent="0.35">
      <c r="B309" s="58"/>
      <c r="C309" s="59"/>
      <c r="D309" s="59"/>
      <c r="E309" s="60"/>
      <c r="F309" s="61"/>
      <c r="G309" s="62"/>
      <c r="H309"/>
      <c r="I309" s="78"/>
      <c r="J309" s="64"/>
      <c r="L309" s="88"/>
      <c r="M309" s="67"/>
      <c r="N309" s="77"/>
      <c r="O309" s="2"/>
      <c r="P309" s="2"/>
    </row>
    <row r="310" spans="2:16" x14ac:dyDescent="0.35">
      <c r="B310" s="58"/>
      <c r="C310" s="59"/>
      <c r="D310" s="59"/>
      <c r="E310" s="60"/>
      <c r="F310" s="61"/>
      <c r="G310" s="62"/>
      <c r="H310"/>
      <c r="I310" s="78"/>
      <c r="J310" s="64"/>
      <c r="L310" s="88"/>
      <c r="M310" s="67"/>
      <c r="N310" s="77"/>
      <c r="O310" s="2"/>
      <c r="P310" s="2"/>
    </row>
    <row r="311" spans="2:16" x14ac:dyDescent="0.35">
      <c r="B311" s="58"/>
      <c r="C311" s="59"/>
      <c r="D311" s="59"/>
      <c r="E311" s="60"/>
      <c r="F311" s="61"/>
      <c r="G311" s="62"/>
      <c r="H311"/>
      <c r="I311" s="78"/>
      <c r="J311" s="64"/>
      <c r="L311" s="88"/>
      <c r="M311" s="67"/>
      <c r="N311" s="77"/>
      <c r="O311" s="2"/>
      <c r="P311" s="2"/>
    </row>
    <row r="312" spans="2:16" x14ac:dyDescent="0.35">
      <c r="B312" s="58"/>
      <c r="C312" s="59"/>
      <c r="D312" s="59"/>
      <c r="E312" s="60"/>
      <c r="F312" s="61"/>
      <c r="G312" s="62"/>
      <c r="H312"/>
      <c r="I312" s="78"/>
      <c r="J312" s="64"/>
      <c r="L312" s="88"/>
      <c r="M312" s="67"/>
      <c r="N312" s="77"/>
      <c r="O312" s="2"/>
      <c r="P312" s="2"/>
    </row>
    <row r="313" spans="2:16" x14ac:dyDescent="0.35">
      <c r="B313" s="58"/>
      <c r="C313" s="59"/>
      <c r="D313" s="59"/>
      <c r="E313" s="60"/>
      <c r="F313" s="61"/>
      <c r="G313" s="62"/>
      <c r="H313"/>
      <c r="I313" s="78"/>
      <c r="J313" s="64"/>
      <c r="L313" s="88"/>
      <c r="M313" s="67"/>
      <c r="N313" s="77"/>
      <c r="O313" s="2"/>
      <c r="P313" s="2"/>
    </row>
    <row r="314" spans="2:16" ht="15" customHeight="1" x14ac:dyDescent="0.35">
      <c r="B314" s="58"/>
      <c r="C314" s="59"/>
      <c r="D314" s="59"/>
      <c r="E314" s="60"/>
      <c r="F314" s="61"/>
      <c r="G314" s="62"/>
      <c r="H314"/>
      <c r="I314" s="78"/>
      <c r="J314" s="64"/>
      <c r="L314" s="88"/>
      <c r="M314" s="67"/>
      <c r="N314" s="77"/>
      <c r="O314" s="2"/>
      <c r="P314" s="2"/>
    </row>
    <row r="315" spans="2:16" x14ac:dyDescent="0.35">
      <c r="B315" s="58"/>
      <c r="C315" s="59"/>
      <c r="D315" s="59"/>
      <c r="E315" s="60"/>
      <c r="F315" s="61"/>
      <c r="G315" s="62"/>
      <c r="H315"/>
      <c r="I315" s="78"/>
      <c r="J315" s="64"/>
      <c r="L315" s="88"/>
      <c r="M315" s="67"/>
      <c r="N315" s="77"/>
      <c r="O315" s="2"/>
      <c r="P315" s="2"/>
    </row>
    <row r="316" spans="2:16" x14ac:dyDescent="0.35">
      <c r="B316" s="58"/>
      <c r="C316" s="59"/>
      <c r="D316" s="59"/>
      <c r="E316" s="60"/>
      <c r="F316" s="61"/>
      <c r="G316" s="62"/>
      <c r="H316"/>
      <c r="I316" s="78"/>
      <c r="J316" s="64"/>
      <c r="L316" s="88"/>
      <c r="M316" s="67"/>
      <c r="N316" s="77"/>
      <c r="O316" s="2"/>
      <c r="P316" s="2"/>
    </row>
    <row r="317" spans="2:16" x14ac:dyDescent="0.35">
      <c r="B317" s="58"/>
      <c r="C317" s="59"/>
      <c r="D317" s="59"/>
      <c r="E317" s="60"/>
      <c r="F317" s="61"/>
      <c r="G317" s="62"/>
      <c r="H317"/>
      <c r="I317" s="78"/>
      <c r="J317" s="64"/>
      <c r="L317" s="88"/>
      <c r="M317" s="67"/>
      <c r="N317" s="77"/>
      <c r="O317" s="2"/>
      <c r="P317" s="2"/>
    </row>
    <row r="318" spans="2:16" x14ac:dyDescent="0.35">
      <c r="B318" s="58"/>
      <c r="C318" s="59"/>
      <c r="D318" s="59"/>
      <c r="E318" s="60"/>
      <c r="F318" s="61"/>
      <c r="G318" s="62"/>
      <c r="H318"/>
      <c r="I318" s="78"/>
      <c r="J318" s="64"/>
      <c r="L318" s="88"/>
      <c r="M318" s="67"/>
      <c r="N318" s="77"/>
      <c r="O318" s="2"/>
      <c r="P318" s="2"/>
    </row>
    <row r="319" spans="2:16" x14ac:dyDescent="0.35">
      <c r="B319" s="58"/>
      <c r="C319" s="59"/>
      <c r="D319" s="59"/>
      <c r="E319" s="60"/>
      <c r="F319" s="61"/>
      <c r="G319" s="62"/>
      <c r="H319"/>
      <c r="I319" s="78"/>
      <c r="J319" s="64"/>
      <c r="L319" s="88"/>
      <c r="M319" s="67"/>
      <c r="N319" s="77"/>
      <c r="O319" s="2"/>
      <c r="P319" s="2"/>
    </row>
    <row r="320" spans="2:16" x14ac:dyDescent="0.35">
      <c r="B320" s="58"/>
      <c r="C320" s="59"/>
      <c r="D320" s="59"/>
      <c r="E320" s="60"/>
      <c r="F320" s="61"/>
      <c r="G320" s="62"/>
      <c r="H320"/>
      <c r="I320" s="78"/>
      <c r="J320" s="64"/>
      <c r="L320" s="88"/>
      <c r="M320" s="67"/>
      <c r="N320" s="77"/>
      <c r="O320" s="2"/>
      <c r="P320" s="2"/>
    </row>
    <row r="321" spans="2:16" x14ac:dyDescent="0.35">
      <c r="B321" s="58"/>
      <c r="C321" s="59"/>
      <c r="D321" s="59"/>
      <c r="E321" s="60"/>
      <c r="F321" s="61"/>
      <c r="G321" s="62"/>
      <c r="H321"/>
      <c r="I321" s="78"/>
      <c r="J321" s="64"/>
      <c r="L321" s="88"/>
      <c r="M321" s="67"/>
      <c r="N321" s="77"/>
      <c r="O321" s="2"/>
      <c r="P321" s="2"/>
    </row>
    <row r="322" spans="2:16" x14ac:dyDescent="0.35">
      <c r="B322" s="58"/>
      <c r="C322" s="59"/>
      <c r="D322" s="59"/>
      <c r="E322" s="60"/>
      <c r="F322" s="61"/>
      <c r="G322" s="62"/>
      <c r="H322"/>
      <c r="I322" s="78"/>
      <c r="J322" s="64"/>
      <c r="L322" s="88"/>
      <c r="N322" s="77"/>
      <c r="O322" s="2"/>
      <c r="P322" s="2"/>
    </row>
    <row r="323" spans="2:16" x14ac:dyDescent="0.35">
      <c r="B323" s="58"/>
      <c r="C323" s="59"/>
      <c r="D323" s="59"/>
      <c r="E323" s="60"/>
      <c r="F323" s="61"/>
      <c r="G323" s="62"/>
      <c r="H323"/>
      <c r="I323" s="78"/>
      <c r="J323" s="64"/>
      <c r="L323" s="88"/>
      <c r="M323" s="67"/>
      <c r="N323" s="77"/>
      <c r="O323" s="2"/>
      <c r="P323" s="2"/>
    </row>
    <row r="324" spans="2:16" x14ac:dyDescent="0.35">
      <c r="B324" s="58"/>
      <c r="C324" s="59"/>
      <c r="D324" s="59"/>
      <c r="E324" s="60"/>
      <c r="F324" s="61"/>
      <c r="G324" s="62"/>
      <c r="H324"/>
      <c r="I324" s="78"/>
      <c r="J324" s="64"/>
      <c r="L324" s="88"/>
      <c r="M324" s="67"/>
      <c r="N324" s="77"/>
      <c r="O324" s="2"/>
      <c r="P324" s="2"/>
    </row>
    <row r="325" spans="2:16" x14ac:dyDescent="0.35">
      <c r="B325" s="58"/>
      <c r="C325" s="59"/>
      <c r="D325" s="59"/>
      <c r="E325" s="60"/>
      <c r="F325" s="61"/>
      <c r="G325" s="62"/>
      <c r="H325"/>
      <c r="I325" s="78"/>
      <c r="J325" s="64"/>
      <c r="L325" s="88"/>
      <c r="M325" s="67"/>
      <c r="O325" s="2"/>
      <c r="P325" s="2"/>
    </row>
    <row r="326" spans="2:16" x14ac:dyDescent="0.35">
      <c r="B326" s="58"/>
      <c r="C326" s="59"/>
      <c r="D326" s="59"/>
      <c r="E326" s="60"/>
      <c r="F326" s="61"/>
      <c r="G326" s="62"/>
      <c r="H326"/>
      <c r="I326" s="78"/>
      <c r="J326" s="64"/>
      <c r="L326" s="88"/>
      <c r="M326" s="67"/>
      <c r="N326" s="77"/>
      <c r="O326" s="2"/>
      <c r="P326" s="2"/>
    </row>
    <row r="327" spans="2:16" x14ac:dyDescent="0.35">
      <c r="B327" s="58"/>
      <c r="C327" s="59"/>
      <c r="D327" s="59"/>
      <c r="E327" s="60"/>
      <c r="F327" s="61"/>
      <c r="G327" s="62"/>
      <c r="H327"/>
      <c r="I327" s="78"/>
      <c r="J327" s="64"/>
      <c r="L327" s="88"/>
      <c r="M327" s="67"/>
      <c r="N327" s="77"/>
      <c r="O327" s="2"/>
      <c r="P327" s="2"/>
    </row>
    <row r="328" spans="2:16" x14ac:dyDescent="0.35">
      <c r="B328" s="58"/>
      <c r="C328" s="59"/>
      <c r="D328" s="59"/>
      <c r="E328" s="60"/>
      <c r="F328" s="61"/>
      <c r="G328" s="62"/>
      <c r="H328"/>
      <c r="I328" s="78"/>
      <c r="J328" s="64"/>
      <c r="L328" s="88"/>
      <c r="M328" s="67"/>
      <c r="N328" s="77"/>
      <c r="O328" s="2"/>
      <c r="P328" s="2"/>
    </row>
    <row r="329" spans="2:16" x14ac:dyDescent="0.35">
      <c r="B329" s="58"/>
      <c r="C329" s="59"/>
      <c r="D329" s="59"/>
      <c r="E329" s="60"/>
      <c r="F329" s="61"/>
      <c r="G329" s="62"/>
      <c r="H329"/>
      <c r="I329" s="78"/>
      <c r="J329" s="64"/>
      <c r="L329" s="88"/>
      <c r="M329" s="67"/>
      <c r="N329" s="77"/>
      <c r="O329" s="2"/>
      <c r="P329" s="2"/>
    </row>
    <row r="330" spans="2:16" x14ac:dyDescent="0.35">
      <c r="B330" s="58"/>
      <c r="C330" s="59"/>
      <c r="D330" s="59"/>
      <c r="E330" s="60"/>
      <c r="F330" s="61"/>
      <c r="G330" s="62"/>
      <c r="H330"/>
      <c r="I330" s="78"/>
      <c r="J330" s="64"/>
      <c r="L330" s="88"/>
      <c r="M330" s="67"/>
      <c r="N330" s="77"/>
      <c r="O330" s="2"/>
      <c r="P330" s="2"/>
    </row>
    <row r="331" spans="2:16" x14ac:dyDescent="0.35">
      <c r="B331" s="58"/>
      <c r="C331" s="59"/>
      <c r="D331" s="59"/>
      <c r="E331" s="60"/>
      <c r="F331" s="61"/>
      <c r="G331" s="62"/>
      <c r="H331"/>
      <c r="I331" s="78"/>
      <c r="J331" s="64"/>
      <c r="L331" s="88"/>
      <c r="M331" s="67"/>
      <c r="N331" s="77"/>
      <c r="O331" s="2"/>
      <c r="P331" s="2"/>
    </row>
    <row r="332" spans="2:16" x14ac:dyDescent="0.35">
      <c r="B332" s="58"/>
      <c r="C332" s="59"/>
      <c r="D332" s="59"/>
      <c r="E332" s="60"/>
      <c r="F332" s="61"/>
      <c r="G332" s="62"/>
      <c r="H332"/>
      <c r="I332" s="78"/>
      <c r="J332" s="64"/>
      <c r="L332" s="88"/>
      <c r="M332" s="67"/>
      <c r="N332" s="77"/>
      <c r="O332" s="2"/>
      <c r="P332" s="2"/>
    </row>
    <row r="333" spans="2:16" x14ac:dyDescent="0.35">
      <c r="B333" s="58"/>
      <c r="C333" s="59"/>
      <c r="D333" s="59"/>
      <c r="E333" s="60"/>
      <c r="F333" s="61"/>
      <c r="G333" s="62"/>
      <c r="H333"/>
      <c r="I333" s="78"/>
      <c r="J333" s="64"/>
      <c r="L333" s="88"/>
      <c r="M333" s="67"/>
      <c r="N333" s="77"/>
      <c r="O333" s="2"/>
      <c r="P333" s="2"/>
    </row>
    <row r="334" spans="2:16" x14ac:dyDescent="0.35">
      <c r="B334" s="58"/>
      <c r="C334" s="59"/>
      <c r="D334" s="59"/>
      <c r="E334" s="60"/>
      <c r="F334" s="61"/>
      <c r="G334" s="62"/>
      <c r="H334"/>
      <c r="I334" s="78"/>
      <c r="J334" s="64"/>
      <c r="L334" s="88"/>
      <c r="M334" s="67"/>
      <c r="N334" s="77"/>
      <c r="O334" s="2"/>
      <c r="P334" s="2"/>
    </row>
    <row r="335" spans="2:16" ht="15" customHeight="1" x14ac:dyDescent="0.35">
      <c r="B335" s="58"/>
      <c r="C335" s="59"/>
      <c r="D335" s="59"/>
      <c r="E335" s="60"/>
      <c r="F335" s="61"/>
      <c r="G335" s="62"/>
      <c r="H335"/>
      <c r="I335" s="78"/>
      <c r="J335" s="64"/>
      <c r="L335" s="88"/>
      <c r="M335" s="67"/>
      <c r="N335" s="77"/>
      <c r="O335" s="2"/>
      <c r="P335" s="2"/>
    </row>
    <row r="336" spans="2:16" x14ac:dyDescent="0.35">
      <c r="B336" s="58"/>
      <c r="C336" s="59"/>
      <c r="D336" s="59"/>
      <c r="E336" s="60"/>
      <c r="F336" s="61"/>
      <c r="G336" s="62"/>
      <c r="H336"/>
      <c r="I336" s="78"/>
      <c r="J336" s="64"/>
      <c r="L336" s="88"/>
      <c r="M336" s="67"/>
      <c r="N336" s="77"/>
      <c r="O336" s="2"/>
      <c r="P336" s="2"/>
    </row>
    <row r="337" spans="2:16" x14ac:dyDescent="0.35">
      <c r="B337" s="58"/>
      <c r="C337" s="59"/>
      <c r="D337" s="59"/>
      <c r="E337" s="60"/>
      <c r="F337" s="61"/>
      <c r="G337" s="62"/>
      <c r="H337"/>
      <c r="I337" s="78"/>
      <c r="J337" s="64"/>
      <c r="L337" s="88"/>
      <c r="M337" s="67"/>
      <c r="N337" s="77"/>
      <c r="O337" s="2"/>
      <c r="P337" s="2"/>
    </row>
    <row r="338" spans="2:16" x14ac:dyDescent="0.35">
      <c r="B338" s="58"/>
      <c r="C338" s="59"/>
      <c r="D338" s="59"/>
      <c r="E338" s="60"/>
      <c r="F338" s="61"/>
      <c r="G338" s="62"/>
      <c r="H338"/>
      <c r="I338" s="78"/>
      <c r="J338" s="64"/>
      <c r="L338" s="88"/>
      <c r="M338" s="67"/>
      <c r="N338" s="77"/>
      <c r="O338" s="2"/>
      <c r="P338" s="2"/>
    </row>
    <row r="339" spans="2:16" x14ac:dyDescent="0.35">
      <c r="B339" s="58"/>
      <c r="C339" s="59"/>
      <c r="D339" s="59"/>
      <c r="E339" s="60"/>
      <c r="F339" s="61"/>
      <c r="G339" s="62"/>
      <c r="H339"/>
      <c r="I339" s="78"/>
      <c r="J339" s="64"/>
      <c r="L339" s="88"/>
      <c r="M339" s="67"/>
      <c r="N339" s="77"/>
      <c r="O339" s="2"/>
      <c r="P339" s="2"/>
    </row>
    <row r="340" spans="2:16" x14ac:dyDescent="0.35">
      <c r="B340" s="58"/>
      <c r="C340" s="59"/>
      <c r="D340" s="59"/>
      <c r="E340" s="60"/>
      <c r="F340" s="61"/>
      <c r="G340" s="62"/>
      <c r="H340"/>
      <c r="I340" s="78"/>
      <c r="J340" s="64"/>
      <c r="L340" s="75"/>
      <c r="M340" s="67"/>
      <c r="N340" s="77"/>
      <c r="O340" s="2"/>
      <c r="P340" s="2"/>
    </row>
    <row r="341" spans="2:16" x14ac:dyDescent="0.35">
      <c r="B341" s="58"/>
      <c r="C341" s="59"/>
      <c r="D341" s="59"/>
      <c r="E341" s="60"/>
      <c r="F341" s="61"/>
      <c r="G341" s="62"/>
      <c r="H341"/>
      <c r="I341" s="78"/>
      <c r="J341" s="64"/>
      <c r="L341" s="75"/>
      <c r="M341" s="67"/>
      <c r="N341" s="77"/>
      <c r="O341" s="2"/>
      <c r="P341" s="2"/>
    </row>
    <row r="342" spans="2:16" x14ac:dyDescent="0.35">
      <c r="B342" s="58"/>
      <c r="C342" s="59"/>
      <c r="D342" s="59"/>
      <c r="E342" s="60"/>
      <c r="F342" s="61"/>
      <c r="G342" s="62"/>
      <c r="H342"/>
      <c r="I342" s="78"/>
      <c r="J342" s="64"/>
      <c r="L342" s="75"/>
      <c r="M342" s="67"/>
      <c r="N342" s="77"/>
      <c r="O342" s="2"/>
      <c r="P342" s="2"/>
    </row>
    <row r="343" spans="2:16" ht="18" customHeight="1" x14ac:dyDescent="0.35">
      <c r="B343" s="58"/>
      <c r="C343" s="59"/>
      <c r="D343" s="59"/>
      <c r="E343" s="60"/>
      <c r="F343" s="61"/>
      <c r="G343" s="62"/>
      <c r="H343"/>
      <c r="I343" s="78"/>
      <c r="J343" s="64"/>
      <c r="L343" s="75"/>
      <c r="M343" s="67"/>
      <c r="N343" s="77"/>
      <c r="O343" s="2"/>
      <c r="P343" s="2"/>
    </row>
    <row r="344" spans="2:16" x14ac:dyDescent="0.35">
      <c r="B344" s="58"/>
      <c r="C344" s="59"/>
      <c r="D344" s="59"/>
      <c r="E344" s="60"/>
      <c r="F344" s="61"/>
      <c r="G344" s="62"/>
      <c r="H344"/>
      <c r="I344" s="78"/>
      <c r="J344" s="64"/>
      <c r="L344" s="75"/>
      <c r="M344" s="67"/>
      <c r="N344" s="77"/>
      <c r="O344" s="2"/>
      <c r="P344" s="2"/>
    </row>
    <row r="345" spans="2:16" x14ac:dyDescent="0.35">
      <c r="B345" s="58"/>
      <c r="C345" s="59"/>
      <c r="D345" s="59"/>
      <c r="E345" s="60"/>
      <c r="F345" s="61"/>
      <c r="G345" s="62"/>
      <c r="H345"/>
      <c r="I345" s="78"/>
      <c r="J345" s="64"/>
      <c r="L345" s="75"/>
      <c r="M345" s="67"/>
      <c r="N345" s="77"/>
      <c r="O345" s="2"/>
      <c r="P345" s="2"/>
    </row>
    <row r="346" spans="2:16" x14ac:dyDescent="0.35">
      <c r="B346" s="58"/>
      <c r="C346" s="59"/>
      <c r="D346" s="59"/>
      <c r="E346" s="60"/>
      <c r="F346" s="61"/>
      <c r="G346" s="62"/>
      <c r="H346"/>
      <c r="I346" s="78"/>
      <c r="J346" s="64"/>
      <c r="L346" s="75"/>
      <c r="M346" s="67"/>
      <c r="N346" s="77"/>
      <c r="O346" s="2"/>
      <c r="P346" s="2"/>
    </row>
    <row r="347" spans="2:16" x14ac:dyDescent="0.35">
      <c r="B347" s="58"/>
      <c r="C347" s="59"/>
      <c r="D347" s="59"/>
      <c r="E347" s="60"/>
      <c r="F347" s="61"/>
      <c r="G347" s="62"/>
      <c r="H347"/>
      <c r="I347" s="78"/>
      <c r="J347" s="64"/>
      <c r="L347" s="75"/>
      <c r="M347" s="67"/>
      <c r="N347" s="77"/>
      <c r="O347" s="2"/>
      <c r="P347" s="2"/>
    </row>
    <row r="348" spans="2:16" x14ac:dyDescent="0.35">
      <c r="B348" s="58"/>
      <c r="C348" s="59"/>
      <c r="D348" s="59"/>
      <c r="E348" s="60"/>
      <c r="F348" s="61"/>
      <c r="G348" s="62"/>
      <c r="H348"/>
      <c r="I348" s="78"/>
      <c r="J348" s="64"/>
      <c r="L348" s="75"/>
      <c r="M348" s="67"/>
      <c r="N348" s="77"/>
      <c r="O348" s="2"/>
      <c r="P348" s="2"/>
    </row>
    <row r="349" spans="2:16" ht="15" customHeight="1" x14ac:dyDescent="0.35">
      <c r="B349" s="58"/>
      <c r="C349" s="59"/>
      <c r="D349" s="59"/>
      <c r="E349" s="60"/>
      <c r="F349" s="61"/>
      <c r="G349" s="62"/>
      <c r="H349"/>
      <c r="I349" s="78"/>
      <c r="J349" s="64"/>
      <c r="L349" s="75"/>
      <c r="M349" s="67"/>
      <c r="N349" s="77"/>
      <c r="O349" s="2"/>
      <c r="P349" s="2"/>
    </row>
    <row r="350" spans="2:16" x14ac:dyDescent="0.35">
      <c r="B350" s="58"/>
      <c r="C350" s="59"/>
      <c r="D350" s="59"/>
      <c r="E350" s="60"/>
      <c r="F350" s="61"/>
      <c r="G350" s="62"/>
      <c r="H350"/>
      <c r="I350" s="78"/>
      <c r="J350" s="64"/>
      <c r="L350" s="75"/>
      <c r="M350" s="67"/>
      <c r="N350" s="77"/>
      <c r="O350" s="2"/>
      <c r="P350" s="2"/>
    </row>
    <row r="351" spans="2:16" x14ac:dyDescent="0.35">
      <c r="B351" s="58"/>
      <c r="C351" s="59"/>
      <c r="D351" s="59"/>
      <c r="E351" s="60"/>
      <c r="F351" s="61"/>
      <c r="G351" s="62"/>
      <c r="H351"/>
      <c r="I351" s="78"/>
      <c r="J351" s="64"/>
      <c r="L351" s="75"/>
      <c r="M351" s="67"/>
      <c r="N351" s="77"/>
      <c r="O351" s="2"/>
      <c r="P351" s="2"/>
    </row>
    <row r="352" spans="2:16" x14ac:dyDescent="0.35">
      <c r="B352" s="58"/>
      <c r="C352" s="59"/>
      <c r="D352" s="59"/>
      <c r="E352" s="60"/>
      <c r="F352" s="61"/>
      <c r="G352" s="62"/>
      <c r="H352"/>
      <c r="I352" s="78"/>
      <c r="J352" s="64"/>
      <c r="L352" s="75"/>
      <c r="M352" s="67"/>
      <c r="N352" s="77"/>
      <c r="O352" s="2"/>
      <c r="P352" s="2"/>
    </row>
    <row r="353" spans="2:16" x14ac:dyDescent="0.35">
      <c r="B353" s="58"/>
      <c r="C353" s="59"/>
      <c r="D353" s="59"/>
      <c r="E353" s="60"/>
      <c r="F353" s="61"/>
      <c r="G353" s="62"/>
      <c r="H353"/>
      <c r="I353" s="78"/>
      <c r="J353" s="64"/>
      <c r="L353" s="75"/>
      <c r="M353" s="67"/>
      <c r="N353" s="77"/>
      <c r="O353" s="2"/>
      <c r="P353" s="2"/>
    </row>
    <row r="354" spans="2:16" x14ac:dyDescent="0.35">
      <c r="B354" s="58"/>
      <c r="C354" s="59"/>
      <c r="D354" s="59"/>
      <c r="E354" s="60"/>
      <c r="F354" s="61"/>
      <c r="G354" s="62"/>
      <c r="H354"/>
      <c r="I354" s="78"/>
      <c r="J354" s="64"/>
      <c r="L354" s="75"/>
      <c r="M354" s="67"/>
      <c r="N354" s="77"/>
      <c r="O354" s="2"/>
      <c r="P354" s="2"/>
    </row>
    <row r="355" spans="2:16" x14ac:dyDescent="0.35">
      <c r="B355" s="58"/>
      <c r="C355" s="59"/>
      <c r="D355" s="59"/>
      <c r="E355" s="60"/>
      <c r="F355" s="61"/>
      <c r="G355" s="62"/>
      <c r="H355"/>
      <c r="I355" s="78"/>
      <c r="J355" s="64"/>
      <c r="L355" s="75"/>
      <c r="M355" s="67"/>
      <c r="N355" s="77"/>
      <c r="O355" s="2"/>
      <c r="P355" s="2"/>
    </row>
    <row r="356" spans="2:16" x14ac:dyDescent="0.35">
      <c r="B356" s="58"/>
      <c r="C356" s="59"/>
      <c r="D356" s="59"/>
      <c r="E356" s="60"/>
      <c r="F356" s="61"/>
      <c r="G356" s="62"/>
      <c r="H356"/>
      <c r="I356" s="78"/>
      <c r="J356" s="64"/>
      <c r="L356" s="75"/>
      <c r="M356" s="67"/>
      <c r="N356" s="77"/>
      <c r="O356" s="2"/>
      <c r="P356" s="2"/>
    </row>
    <row r="357" spans="2:16" x14ac:dyDescent="0.35">
      <c r="B357" s="58"/>
      <c r="C357" s="59"/>
      <c r="D357" s="59"/>
      <c r="E357" s="60"/>
      <c r="F357" s="61"/>
      <c r="G357" s="62"/>
      <c r="H357"/>
      <c r="I357" s="78"/>
      <c r="J357" s="64"/>
      <c r="L357" s="75"/>
      <c r="M357" s="67"/>
      <c r="N357" s="77"/>
      <c r="O357" s="2"/>
      <c r="P357" s="2"/>
    </row>
    <row r="358" spans="2:16" x14ac:dyDescent="0.35">
      <c r="B358" s="58"/>
      <c r="C358" s="59"/>
      <c r="D358" s="59"/>
      <c r="E358" s="60"/>
      <c r="F358" s="61"/>
      <c r="G358" s="62"/>
      <c r="H358"/>
      <c r="I358" s="78"/>
      <c r="J358" s="64"/>
      <c r="L358" s="75"/>
      <c r="M358" s="67"/>
      <c r="N358" s="77"/>
      <c r="O358" s="2"/>
      <c r="P358" s="2"/>
    </row>
    <row r="359" spans="2:16" x14ac:dyDescent="0.35">
      <c r="B359" s="58"/>
      <c r="C359" s="59"/>
      <c r="D359" s="59"/>
      <c r="E359" s="60"/>
      <c r="F359" s="61"/>
      <c r="G359" s="62"/>
      <c r="H359"/>
      <c r="I359" s="78"/>
      <c r="J359" s="64"/>
      <c r="L359" s="88"/>
      <c r="M359" s="67"/>
      <c r="N359" s="77"/>
      <c r="O359" s="2"/>
      <c r="P359" s="2"/>
    </row>
    <row r="360" spans="2:16" x14ac:dyDescent="0.35">
      <c r="B360" s="58"/>
      <c r="C360" s="59"/>
      <c r="D360" s="59"/>
      <c r="E360" s="60"/>
      <c r="F360" s="61"/>
      <c r="G360" s="62"/>
      <c r="H360"/>
      <c r="I360" s="78"/>
      <c r="J360" s="64"/>
      <c r="L360" s="75"/>
      <c r="M360" s="67"/>
      <c r="N360" s="77"/>
      <c r="O360" s="2"/>
      <c r="P360" s="2"/>
    </row>
    <row r="361" spans="2:16" x14ac:dyDescent="0.35">
      <c r="B361" s="58"/>
      <c r="C361" s="59"/>
      <c r="D361" s="59"/>
      <c r="E361" s="60"/>
      <c r="F361" s="61"/>
      <c r="G361" s="62"/>
      <c r="H361"/>
      <c r="I361" s="78"/>
      <c r="J361" s="64"/>
      <c r="L361" s="75"/>
      <c r="M361" s="67"/>
      <c r="N361" s="89"/>
      <c r="O361" s="2"/>
      <c r="P361" s="2"/>
    </row>
    <row r="362" spans="2:16" x14ac:dyDescent="0.35">
      <c r="B362" s="58"/>
      <c r="C362" s="59"/>
      <c r="D362" s="59"/>
      <c r="E362" s="60"/>
      <c r="F362" s="61"/>
      <c r="G362" s="62"/>
      <c r="H362"/>
      <c r="I362" s="78"/>
      <c r="J362" s="64"/>
      <c r="L362" s="75"/>
      <c r="M362" s="67"/>
      <c r="N362" s="77"/>
      <c r="O362" s="2"/>
      <c r="P362" s="2"/>
    </row>
    <row r="363" spans="2:16" x14ac:dyDescent="0.35">
      <c r="B363" s="58"/>
      <c r="C363" s="59"/>
      <c r="D363" s="59"/>
      <c r="E363" s="60"/>
      <c r="F363" s="61"/>
      <c r="G363" s="62"/>
      <c r="H363"/>
      <c r="I363" s="78"/>
      <c r="J363" s="64"/>
      <c r="L363" s="75"/>
      <c r="M363" s="67"/>
      <c r="N363" s="77"/>
      <c r="O363" s="2"/>
      <c r="P363" s="2"/>
    </row>
    <row r="364" spans="2:16" x14ac:dyDescent="0.35">
      <c r="B364" s="58"/>
      <c r="C364" s="59"/>
      <c r="D364" s="59"/>
      <c r="E364" s="60"/>
      <c r="F364" s="61"/>
      <c r="G364" s="62"/>
      <c r="H364"/>
      <c r="I364" s="78"/>
      <c r="J364" s="64"/>
      <c r="L364" s="75"/>
      <c r="M364" s="67"/>
      <c r="N364" s="77"/>
      <c r="O364" s="2"/>
      <c r="P364" s="2"/>
    </row>
    <row r="365" spans="2:16" x14ac:dyDescent="0.35">
      <c r="B365" s="58"/>
      <c r="C365" s="59"/>
      <c r="D365" s="59"/>
      <c r="E365" s="60"/>
      <c r="F365" s="61"/>
      <c r="G365" s="62"/>
      <c r="H365"/>
      <c r="I365" s="78"/>
      <c r="J365" s="64"/>
      <c r="L365" s="75"/>
      <c r="M365" s="67"/>
      <c r="N365" s="77"/>
      <c r="O365" s="2"/>
      <c r="P365" s="2"/>
    </row>
    <row r="366" spans="2:16" x14ac:dyDescent="0.35">
      <c r="B366" s="58"/>
      <c r="C366" s="59"/>
      <c r="D366" s="59"/>
      <c r="E366" s="60"/>
      <c r="F366" s="61"/>
      <c r="G366" s="62"/>
      <c r="H366"/>
      <c r="I366" s="78"/>
      <c r="J366" s="64"/>
      <c r="L366" s="75"/>
      <c r="M366" s="67"/>
      <c r="N366" s="77"/>
      <c r="O366" s="2"/>
      <c r="P366" s="2"/>
    </row>
    <row r="367" spans="2:16" x14ac:dyDescent="0.35">
      <c r="B367" s="58"/>
      <c r="C367" s="59"/>
      <c r="D367" s="59"/>
      <c r="E367" s="60"/>
      <c r="F367" s="61"/>
      <c r="G367" s="62"/>
      <c r="H367"/>
      <c r="I367" s="78"/>
      <c r="J367" s="64"/>
      <c r="L367" s="75"/>
      <c r="M367" s="67"/>
      <c r="N367" s="77"/>
      <c r="O367" s="2"/>
      <c r="P367" s="2"/>
    </row>
    <row r="368" spans="2:16" x14ac:dyDescent="0.35">
      <c r="B368" s="58"/>
      <c r="C368" s="59"/>
      <c r="D368" s="59"/>
      <c r="E368" s="60"/>
      <c r="F368" s="61"/>
      <c r="G368" s="62"/>
      <c r="H368"/>
      <c r="I368" s="78"/>
      <c r="J368" s="64"/>
      <c r="L368" s="75"/>
      <c r="M368" s="67"/>
      <c r="N368" s="77"/>
      <c r="O368" s="2"/>
      <c r="P368" s="2"/>
    </row>
    <row r="369" spans="2:16" x14ac:dyDescent="0.35">
      <c r="B369" s="58"/>
      <c r="C369" s="59"/>
      <c r="D369" s="59"/>
      <c r="E369" s="60"/>
      <c r="F369" s="61"/>
      <c r="G369" s="62"/>
      <c r="H369"/>
      <c r="I369" s="78"/>
      <c r="J369" s="64"/>
      <c r="L369" s="75"/>
      <c r="M369" s="67"/>
      <c r="N369" s="77"/>
      <c r="O369" s="2"/>
      <c r="P369" s="2"/>
    </row>
    <row r="370" spans="2:16" x14ac:dyDescent="0.35">
      <c r="B370" s="58"/>
      <c r="C370" s="59"/>
      <c r="D370" s="59"/>
      <c r="E370" s="60"/>
      <c r="F370" s="61"/>
      <c r="G370" s="62"/>
      <c r="H370"/>
      <c r="I370" s="78"/>
      <c r="J370" s="64"/>
      <c r="L370" s="75"/>
      <c r="M370" s="67"/>
      <c r="N370" s="77"/>
      <c r="O370" s="2"/>
      <c r="P370" s="2"/>
    </row>
    <row r="371" spans="2:16" x14ac:dyDescent="0.35">
      <c r="B371" s="58"/>
      <c r="C371" s="59"/>
      <c r="D371" s="59"/>
      <c r="E371" s="60"/>
      <c r="F371" s="61"/>
      <c r="G371" s="62"/>
      <c r="H371"/>
      <c r="I371" s="78"/>
      <c r="J371" s="64"/>
      <c r="L371" s="75"/>
      <c r="M371" s="67"/>
      <c r="N371" s="77"/>
      <c r="O371" s="2"/>
      <c r="P371" s="2"/>
    </row>
    <row r="372" spans="2:16" x14ac:dyDescent="0.35">
      <c r="B372" s="58"/>
      <c r="C372" s="59"/>
      <c r="D372" s="59"/>
      <c r="E372" s="60"/>
      <c r="F372" s="61"/>
      <c r="G372" s="62"/>
      <c r="H372"/>
      <c r="I372" s="78"/>
      <c r="J372" s="64"/>
      <c r="L372" s="75"/>
      <c r="M372" s="67"/>
      <c r="N372" s="77"/>
      <c r="O372" s="2"/>
      <c r="P372" s="2"/>
    </row>
    <row r="373" spans="2:16" x14ac:dyDescent="0.35">
      <c r="B373" s="58"/>
      <c r="C373" s="59"/>
      <c r="D373" s="59"/>
      <c r="E373" s="60"/>
      <c r="F373" s="61"/>
      <c r="G373" s="62"/>
      <c r="H373"/>
      <c r="I373" s="78"/>
      <c r="J373" s="64"/>
      <c r="L373" s="75"/>
      <c r="M373" s="67"/>
      <c r="N373" s="77"/>
      <c r="O373" s="2"/>
      <c r="P373" s="2"/>
    </row>
    <row r="374" spans="2:16" x14ac:dyDescent="0.35">
      <c r="B374" s="58"/>
      <c r="C374" s="59"/>
      <c r="D374" s="59"/>
      <c r="E374" s="60"/>
      <c r="F374" s="61"/>
      <c r="G374" s="62"/>
      <c r="H374"/>
      <c r="I374" s="78"/>
      <c r="J374" s="64"/>
      <c r="L374" s="75"/>
      <c r="M374" s="67"/>
      <c r="N374" s="77"/>
      <c r="O374" s="2"/>
      <c r="P374" s="2"/>
    </row>
    <row r="375" spans="2:16" x14ac:dyDescent="0.35">
      <c r="B375" s="58"/>
      <c r="C375" s="59"/>
      <c r="D375" s="59"/>
      <c r="E375" s="60"/>
      <c r="F375" s="61"/>
      <c r="G375" s="62"/>
      <c r="H375"/>
      <c r="I375" s="78"/>
      <c r="J375" s="64"/>
      <c r="L375" s="75"/>
      <c r="M375" s="67"/>
      <c r="N375" s="77"/>
      <c r="O375" s="2"/>
      <c r="P375" s="2"/>
    </row>
    <row r="376" spans="2:16" x14ac:dyDescent="0.35">
      <c r="B376" s="58"/>
      <c r="C376" s="59"/>
      <c r="D376" s="59"/>
      <c r="E376" s="60"/>
      <c r="F376" s="61"/>
      <c r="G376" s="62"/>
      <c r="H376"/>
      <c r="I376" s="78"/>
      <c r="J376" s="64"/>
      <c r="L376" s="75"/>
      <c r="M376" s="67"/>
      <c r="N376" s="77"/>
      <c r="O376" s="2"/>
      <c r="P376" s="2"/>
    </row>
    <row r="377" spans="2:16" x14ac:dyDescent="0.35">
      <c r="B377" s="58"/>
      <c r="C377" s="59"/>
      <c r="D377" s="59"/>
      <c r="E377" s="60"/>
      <c r="F377" s="61"/>
      <c r="G377" s="62"/>
      <c r="H377"/>
      <c r="I377" s="78"/>
      <c r="J377" s="64"/>
      <c r="L377" s="75"/>
      <c r="M377" s="67"/>
      <c r="N377" s="77"/>
      <c r="O377" s="2"/>
      <c r="P377" s="2"/>
    </row>
    <row r="378" spans="2:16" x14ac:dyDescent="0.35">
      <c r="B378" s="58"/>
      <c r="C378" s="59"/>
      <c r="D378" s="59"/>
      <c r="E378" s="60"/>
      <c r="F378" s="61"/>
      <c r="G378" s="62"/>
      <c r="H378"/>
      <c r="I378" s="78"/>
      <c r="J378" s="64"/>
      <c r="L378" s="75"/>
      <c r="M378" s="67"/>
      <c r="N378" s="77"/>
      <c r="O378" s="2"/>
      <c r="P378" s="2"/>
    </row>
    <row r="379" spans="2:16" x14ac:dyDescent="0.35">
      <c r="B379" s="58"/>
      <c r="C379" s="59"/>
      <c r="D379" s="59"/>
      <c r="E379" s="60"/>
      <c r="F379" s="61"/>
      <c r="G379" s="62"/>
      <c r="H379"/>
      <c r="I379" s="78"/>
      <c r="J379" s="64"/>
      <c r="L379" s="75"/>
      <c r="M379" s="67"/>
      <c r="N379" s="77"/>
      <c r="O379" s="2"/>
      <c r="P379" s="2"/>
    </row>
    <row r="380" spans="2:16" x14ac:dyDescent="0.35">
      <c r="B380" s="58"/>
      <c r="C380" s="59"/>
      <c r="D380" s="59"/>
      <c r="E380" s="60"/>
      <c r="F380" s="61"/>
      <c r="G380" s="62"/>
      <c r="H380"/>
      <c r="I380" s="78"/>
      <c r="J380" s="76"/>
      <c r="L380" s="75"/>
      <c r="M380" s="67"/>
      <c r="N380" s="77"/>
      <c r="O380" s="2"/>
      <c r="P380" s="2"/>
    </row>
    <row r="381" spans="2:16" x14ac:dyDescent="0.35">
      <c r="B381" s="58"/>
      <c r="C381" s="59"/>
      <c r="D381" s="59"/>
      <c r="E381" s="60"/>
      <c r="F381" s="61"/>
      <c r="G381" s="62"/>
      <c r="H381"/>
      <c r="I381" s="78"/>
      <c r="J381" s="76"/>
      <c r="L381" s="75"/>
      <c r="M381" s="67"/>
      <c r="N381" s="77"/>
      <c r="O381" s="2"/>
      <c r="P381" s="2"/>
    </row>
    <row r="382" spans="2:16" x14ac:dyDescent="0.35">
      <c r="B382" s="58"/>
      <c r="C382" s="59"/>
      <c r="D382" s="59"/>
      <c r="E382" s="60"/>
      <c r="F382" s="61"/>
      <c r="G382" s="62"/>
      <c r="H382"/>
      <c r="I382" s="78"/>
      <c r="J382" s="76"/>
      <c r="L382" s="75"/>
      <c r="M382" s="67"/>
      <c r="N382" s="77"/>
      <c r="O382" s="2"/>
      <c r="P382" s="2"/>
    </row>
    <row r="383" spans="2:16" x14ac:dyDescent="0.35">
      <c r="B383" s="58"/>
      <c r="C383" s="59"/>
      <c r="D383" s="59"/>
      <c r="E383" s="60"/>
      <c r="F383" s="61"/>
      <c r="G383" s="62"/>
      <c r="H383"/>
      <c r="I383" s="78"/>
      <c r="J383" s="76"/>
      <c r="L383" s="75"/>
      <c r="M383" s="67"/>
      <c r="N383" s="77"/>
      <c r="O383" s="2"/>
      <c r="P383" s="2"/>
    </row>
    <row r="384" spans="2:16" x14ac:dyDescent="0.35">
      <c r="B384" s="58"/>
      <c r="C384" s="59"/>
      <c r="D384" s="59"/>
      <c r="E384" s="60"/>
      <c r="F384" s="61"/>
      <c r="G384" s="62"/>
      <c r="H384"/>
      <c r="I384" s="78"/>
      <c r="J384" s="76"/>
      <c r="L384" s="75"/>
      <c r="M384" s="67"/>
      <c r="N384" s="77"/>
      <c r="O384" s="2"/>
      <c r="P384" s="2"/>
    </row>
    <row r="385" spans="2:16" x14ac:dyDescent="0.35">
      <c r="B385" s="58"/>
      <c r="C385" s="59"/>
      <c r="D385" s="59"/>
      <c r="E385" s="60"/>
      <c r="F385" s="61"/>
      <c r="G385" s="62"/>
      <c r="H385"/>
      <c r="I385" s="78"/>
      <c r="J385" s="76"/>
      <c r="L385" s="75"/>
      <c r="M385" s="67"/>
      <c r="N385" s="77"/>
      <c r="O385" s="2"/>
      <c r="P385" s="2"/>
    </row>
    <row r="386" spans="2:16" x14ac:dyDescent="0.35">
      <c r="B386" s="58"/>
      <c r="C386" s="59"/>
      <c r="D386" s="59"/>
      <c r="E386" s="60"/>
      <c r="F386" s="61"/>
      <c r="G386" s="62"/>
      <c r="H386"/>
      <c r="I386" s="78"/>
      <c r="J386" s="76"/>
      <c r="L386" s="75"/>
      <c r="M386" s="67"/>
      <c r="N386" s="77"/>
      <c r="O386" s="2"/>
      <c r="P386" s="2"/>
    </row>
    <row r="387" spans="2:16" x14ac:dyDescent="0.35">
      <c r="B387" s="58"/>
      <c r="C387" s="59"/>
      <c r="D387" s="59"/>
      <c r="E387" s="60"/>
      <c r="F387" s="61"/>
      <c r="G387" s="62"/>
      <c r="H387"/>
      <c r="I387" s="78"/>
      <c r="J387" s="76"/>
      <c r="L387" s="75"/>
      <c r="M387" s="67"/>
      <c r="N387" s="77"/>
      <c r="O387" s="2"/>
      <c r="P387" s="2"/>
    </row>
    <row r="388" spans="2:16" x14ac:dyDescent="0.35">
      <c r="B388" s="58"/>
      <c r="C388" s="59"/>
      <c r="D388" s="59"/>
      <c r="E388" s="60"/>
      <c r="F388" s="61"/>
      <c r="G388" s="62"/>
      <c r="H388"/>
      <c r="I388" s="78"/>
      <c r="J388" s="76"/>
      <c r="L388" s="75"/>
      <c r="M388" s="67"/>
      <c r="N388" s="77"/>
      <c r="O388" s="2"/>
      <c r="P388" s="2"/>
    </row>
    <row r="389" spans="2:16" x14ac:dyDescent="0.35">
      <c r="B389" s="58"/>
      <c r="C389" s="59"/>
      <c r="D389" s="59"/>
      <c r="E389" s="60"/>
      <c r="F389" s="61"/>
      <c r="G389" s="62"/>
      <c r="H389"/>
      <c r="I389" s="78"/>
      <c r="J389" s="76"/>
      <c r="L389" s="75"/>
      <c r="M389" s="67"/>
      <c r="N389" s="77"/>
      <c r="O389" s="2"/>
      <c r="P389" s="2"/>
    </row>
    <row r="390" spans="2:16" x14ac:dyDescent="0.35">
      <c r="B390" s="58"/>
      <c r="C390" s="59"/>
      <c r="D390" s="59"/>
      <c r="E390" s="60"/>
      <c r="F390" s="61"/>
      <c r="G390" s="62"/>
      <c r="H390"/>
      <c r="I390" s="78"/>
      <c r="J390" s="64"/>
      <c r="K390" s="65"/>
      <c r="L390" s="66"/>
      <c r="M390" s="83"/>
      <c r="N390" s="77"/>
      <c r="O390" s="2"/>
      <c r="P390" s="2"/>
    </row>
    <row r="391" spans="2:16" x14ac:dyDescent="0.35">
      <c r="B391" s="58"/>
      <c r="C391" s="59"/>
      <c r="D391" s="59"/>
      <c r="E391" s="60"/>
      <c r="F391" s="61"/>
      <c r="G391" s="62"/>
      <c r="H391"/>
      <c r="I391" s="78"/>
      <c r="J391" s="64"/>
      <c r="K391" s="65"/>
      <c r="L391" s="66"/>
      <c r="M391" s="83"/>
      <c r="N391" s="77"/>
      <c r="O391" s="2"/>
      <c r="P391" s="2"/>
    </row>
    <row r="392" spans="2:16" x14ac:dyDescent="0.35">
      <c r="B392" s="58"/>
      <c r="C392" s="59"/>
      <c r="D392" s="59"/>
      <c r="E392" s="60"/>
      <c r="F392" s="61"/>
      <c r="G392" s="62"/>
      <c r="H392"/>
      <c r="I392" s="78"/>
      <c r="J392" s="64"/>
      <c r="K392" s="65"/>
      <c r="L392" s="66"/>
      <c r="M392" s="83"/>
      <c r="N392" s="77"/>
      <c r="O392" s="2"/>
      <c r="P392" s="2"/>
    </row>
    <row r="393" spans="2:16" x14ac:dyDescent="0.35">
      <c r="B393" s="58"/>
      <c r="C393" s="59"/>
      <c r="D393" s="59"/>
      <c r="E393" s="60"/>
      <c r="F393" s="61"/>
      <c r="G393" s="62"/>
      <c r="H393"/>
      <c r="I393" s="78"/>
      <c r="J393" s="64"/>
      <c r="K393" s="65"/>
      <c r="L393" s="66"/>
      <c r="M393" s="83"/>
      <c r="N393" s="77"/>
      <c r="O393" s="2"/>
      <c r="P393" s="2"/>
    </row>
    <row r="394" spans="2:16" x14ac:dyDescent="0.35">
      <c r="B394" s="58"/>
      <c r="C394" s="59"/>
      <c r="D394" s="59"/>
      <c r="E394" s="60"/>
      <c r="F394" s="61"/>
      <c r="G394" s="62"/>
      <c r="H394"/>
      <c r="I394" s="78"/>
      <c r="J394" s="64"/>
      <c r="K394" s="65"/>
      <c r="L394" s="66"/>
      <c r="M394" s="67"/>
      <c r="N394" s="77"/>
      <c r="O394" s="2"/>
      <c r="P394" s="2"/>
    </row>
    <row r="395" spans="2:16" x14ac:dyDescent="0.35">
      <c r="B395" s="58"/>
      <c r="C395" s="59"/>
      <c r="D395" s="59"/>
      <c r="E395" s="60"/>
      <c r="F395" s="61"/>
      <c r="G395" s="62"/>
      <c r="H395"/>
      <c r="I395" s="78"/>
      <c r="J395" s="64"/>
      <c r="K395" s="65"/>
      <c r="L395" s="66"/>
      <c r="M395" s="67"/>
      <c r="N395" s="77"/>
      <c r="O395" s="2"/>
      <c r="P395" s="2"/>
    </row>
    <row r="396" spans="2:16" x14ac:dyDescent="0.35">
      <c r="B396" s="58"/>
      <c r="C396" s="59"/>
      <c r="D396" s="59"/>
      <c r="E396" s="60"/>
      <c r="F396" s="61"/>
      <c r="G396" s="62"/>
      <c r="H396"/>
      <c r="I396" s="78"/>
      <c r="J396" s="64"/>
      <c r="K396" s="65"/>
      <c r="L396" s="66"/>
      <c r="M396" s="67"/>
      <c r="N396" s="77"/>
      <c r="O396" s="2"/>
      <c r="P396" s="2"/>
    </row>
    <row r="397" spans="2:16" x14ac:dyDescent="0.35">
      <c r="B397" s="58"/>
      <c r="C397" s="59"/>
      <c r="D397" s="59"/>
      <c r="E397" s="60"/>
      <c r="F397" s="61"/>
      <c r="G397" s="62"/>
      <c r="H397"/>
      <c r="I397" s="78"/>
      <c r="J397" s="64"/>
      <c r="K397" s="65"/>
      <c r="L397" s="66"/>
      <c r="M397" s="67"/>
      <c r="N397" s="77"/>
      <c r="O397" s="2"/>
      <c r="P397" s="2"/>
    </row>
    <row r="398" spans="2:16" x14ac:dyDescent="0.35">
      <c r="B398" s="58"/>
      <c r="C398" s="59"/>
      <c r="D398" s="59"/>
      <c r="E398" s="60"/>
      <c r="F398" s="61"/>
      <c r="G398" s="62"/>
      <c r="H398"/>
      <c r="I398" s="78"/>
      <c r="J398" s="64"/>
      <c r="K398" s="65"/>
      <c r="L398" s="66"/>
      <c r="M398" s="67"/>
      <c r="N398" s="77"/>
      <c r="O398" s="2"/>
      <c r="P398" s="2"/>
    </row>
    <row r="399" spans="2:16" x14ac:dyDescent="0.35">
      <c r="B399" s="58"/>
      <c r="C399" s="59"/>
      <c r="D399" s="59"/>
      <c r="E399" s="60"/>
      <c r="F399" s="61"/>
      <c r="G399" s="62"/>
      <c r="H399"/>
      <c r="I399" s="78"/>
      <c r="J399" s="64"/>
      <c r="K399" s="65"/>
      <c r="L399" s="66"/>
      <c r="M399" s="67"/>
      <c r="N399" s="77"/>
      <c r="O399" s="2"/>
      <c r="P399" s="2"/>
    </row>
    <row r="400" spans="2:16" x14ac:dyDescent="0.35">
      <c r="B400" s="58"/>
      <c r="C400" s="59"/>
      <c r="D400" s="59"/>
      <c r="E400" s="60"/>
      <c r="F400" s="61"/>
      <c r="G400" s="62"/>
      <c r="H400"/>
      <c r="I400" s="78"/>
      <c r="J400" s="64"/>
      <c r="K400" s="65"/>
      <c r="L400" s="66"/>
      <c r="M400" s="67"/>
      <c r="N400" s="77"/>
      <c r="O400" s="2"/>
      <c r="P400" s="2"/>
    </row>
    <row r="401" spans="2:16" x14ac:dyDescent="0.35">
      <c r="B401" s="58"/>
      <c r="C401" s="59"/>
      <c r="D401" s="59"/>
      <c r="E401" s="60"/>
      <c r="F401" s="61"/>
      <c r="G401" s="62"/>
      <c r="H401"/>
      <c r="I401" s="78"/>
      <c r="J401" s="64"/>
      <c r="K401" s="65"/>
      <c r="L401" s="66"/>
      <c r="M401" s="67"/>
      <c r="N401" s="77"/>
      <c r="O401" s="2"/>
      <c r="P401" s="2"/>
    </row>
    <row r="402" spans="2:16" x14ac:dyDescent="0.35">
      <c r="B402" s="58"/>
      <c r="C402" s="59"/>
      <c r="D402" s="59"/>
      <c r="E402" s="60"/>
      <c r="F402" s="61"/>
      <c r="G402" s="62"/>
      <c r="H402"/>
      <c r="I402" s="78"/>
      <c r="J402" s="64"/>
      <c r="K402" s="65"/>
      <c r="L402" s="66"/>
      <c r="M402" s="67"/>
      <c r="N402" s="77"/>
      <c r="O402" s="2"/>
      <c r="P402" s="2"/>
    </row>
    <row r="403" spans="2:16" x14ac:dyDescent="0.35">
      <c r="B403" s="58"/>
      <c r="C403" s="59"/>
      <c r="D403" s="59"/>
      <c r="E403" s="60"/>
      <c r="F403" s="61"/>
      <c r="G403" s="62"/>
      <c r="H403"/>
      <c r="I403" s="78"/>
      <c r="J403" s="64"/>
      <c r="K403" s="65"/>
      <c r="L403" s="66"/>
      <c r="M403" s="67"/>
      <c r="N403" s="77"/>
      <c r="O403" s="2"/>
      <c r="P403" s="2"/>
    </row>
    <row r="404" spans="2:16" x14ac:dyDescent="0.35">
      <c r="B404" s="58"/>
      <c r="C404" s="59"/>
      <c r="D404" s="59"/>
      <c r="E404" s="60"/>
      <c r="F404" s="61"/>
      <c r="G404" s="62"/>
      <c r="H404"/>
      <c r="I404" s="78"/>
      <c r="J404" s="64"/>
      <c r="L404" s="75"/>
      <c r="M404" s="67"/>
      <c r="N404" s="77"/>
      <c r="O404" s="2"/>
      <c r="P404" s="2"/>
    </row>
    <row r="405" spans="2:16" x14ac:dyDescent="0.35">
      <c r="B405" s="58"/>
      <c r="C405" s="59"/>
      <c r="D405" s="59"/>
      <c r="E405" s="60"/>
      <c r="F405" s="61"/>
      <c r="G405" s="62"/>
      <c r="H405"/>
      <c r="I405" s="78"/>
      <c r="J405" s="64"/>
      <c r="L405" s="75"/>
      <c r="M405" s="67"/>
      <c r="N405" s="77"/>
      <c r="O405" s="2"/>
      <c r="P405" s="2"/>
    </row>
    <row r="406" spans="2:16" x14ac:dyDescent="0.35">
      <c r="B406" s="58"/>
      <c r="C406" s="59"/>
      <c r="D406" s="59"/>
      <c r="E406" s="60"/>
      <c r="F406" s="61"/>
      <c r="G406" s="62"/>
      <c r="H406"/>
      <c r="I406" s="78"/>
      <c r="J406" s="64"/>
      <c r="L406" s="75"/>
      <c r="M406" s="67"/>
      <c r="N406" s="77"/>
      <c r="O406" s="2"/>
      <c r="P406" s="2"/>
    </row>
    <row r="407" spans="2:16" x14ac:dyDescent="0.35">
      <c r="B407" s="58"/>
      <c r="C407" s="59"/>
      <c r="D407" s="59"/>
      <c r="E407" s="60"/>
      <c r="F407" s="61"/>
      <c r="G407" s="62"/>
      <c r="H407"/>
      <c r="I407" s="78"/>
      <c r="J407" s="64"/>
      <c r="L407" s="75"/>
      <c r="M407" s="67"/>
      <c r="N407" s="77"/>
      <c r="O407" s="2"/>
      <c r="P407" s="2"/>
    </row>
    <row r="408" spans="2:16" x14ac:dyDescent="0.35">
      <c r="B408" s="58"/>
      <c r="C408" s="59"/>
      <c r="D408" s="59"/>
      <c r="E408" s="60"/>
      <c r="F408" s="61"/>
      <c r="G408" s="62"/>
      <c r="H408"/>
      <c r="I408" s="78"/>
      <c r="J408" s="64"/>
      <c r="L408" s="75"/>
      <c r="M408" s="67"/>
      <c r="N408" s="77"/>
      <c r="O408" s="2"/>
      <c r="P408" s="2"/>
    </row>
    <row r="409" spans="2:16" x14ac:dyDescent="0.35">
      <c r="B409" s="58"/>
      <c r="C409" s="59"/>
      <c r="D409" s="59"/>
      <c r="E409" s="60"/>
      <c r="F409" s="61"/>
      <c r="G409" s="62"/>
      <c r="H409"/>
      <c r="I409" s="78"/>
      <c r="J409" s="64"/>
      <c r="L409" s="75"/>
      <c r="M409" s="67"/>
      <c r="N409" s="77"/>
      <c r="O409" s="2"/>
      <c r="P409" s="2"/>
    </row>
    <row r="410" spans="2:16" x14ac:dyDescent="0.35">
      <c r="B410" s="58"/>
      <c r="C410" s="59"/>
      <c r="D410" s="59"/>
      <c r="E410" s="60"/>
      <c r="F410" s="61"/>
      <c r="G410" s="62"/>
      <c r="H410"/>
      <c r="I410" s="78"/>
      <c r="J410" s="64"/>
      <c r="L410" s="75"/>
      <c r="M410" s="67"/>
      <c r="N410" s="77"/>
      <c r="O410" s="2"/>
      <c r="P410" s="2"/>
    </row>
    <row r="411" spans="2:16" x14ac:dyDescent="0.35">
      <c r="B411" s="58"/>
      <c r="C411" s="59"/>
      <c r="D411" s="59"/>
      <c r="E411" s="60"/>
      <c r="F411" s="61"/>
      <c r="G411" s="62"/>
      <c r="H411"/>
      <c r="I411" s="78"/>
      <c r="J411" s="64"/>
      <c r="L411" s="88"/>
      <c r="M411" s="67"/>
      <c r="N411" s="77"/>
      <c r="O411" s="2"/>
      <c r="P411" s="2"/>
    </row>
    <row r="412" spans="2:16" x14ac:dyDescent="0.35">
      <c r="B412" s="58"/>
      <c r="C412" s="59"/>
      <c r="D412" s="59"/>
      <c r="E412" s="60"/>
      <c r="F412" s="61"/>
      <c r="G412" s="62"/>
      <c r="H412"/>
      <c r="I412" s="78"/>
      <c r="J412" s="64"/>
      <c r="L412" s="75"/>
      <c r="M412" s="67"/>
      <c r="N412" s="77"/>
      <c r="O412" s="2"/>
      <c r="P412" s="2"/>
    </row>
    <row r="413" spans="2:16" x14ac:dyDescent="0.35">
      <c r="B413" s="58"/>
      <c r="C413" s="59"/>
      <c r="D413" s="59"/>
      <c r="E413" s="60"/>
      <c r="F413" s="61"/>
      <c r="G413" s="62"/>
      <c r="H413"/>
      <c r="I413" s="78"/>
      <c r="J413" s="64"/>
      <c r="L413" s="75"/>
      <c r="M413" s="67"/>
      <c r="N413" s="77"/>
      <c r="O413" s="2"/>
      <c r="P413" s="2"/>
    </row>
    <row r="414" spans="2:16" x14ac:dyDescent="0.35">
      <c r="B414" s="58"/>
      <c r="C414" s="59"/>
      <c r="D414" s="59"/>
      <c r="E414" s="60"/>
      <c r="F414" s="61"/>
      <c r="G414" s="62"/>
      <c r="H414"/>
      <c r="I414" s="78"/>
      <c r="J414" s="64"/>
      <c r="L414" s="75"/>
      <c r="M414" s="67"/>
      <c r="N414" s="77"/>
      <c r="O414" s="2"/>
      <c r="P414" s="2"/>
    </row>
    <row r="415" spans="2:16" x14ac:dyDescent="0.35">
      <c r="B415" s="58"/>
      <c r="C415" s="59"/>
      <c r="D415" s="59"/>
      <c r="E415" s="60"/>
      <c r="F415" s="61"/>
      <c r="G415" s="62"/>
      <c r="H415"/>
      <c r="I415" s="78"/>
      <c r="J415" s="64"/>
      <c r="L415" s="75"/>
      <c r="M415" s="67"/>
      <c r="N415" s="77"/>
      <c r="O415" s="2"/>
      <c r="P415" s="2"/>
    </row>
    <row r="416" spans="2:16" x14ac:dyDescent="0.35">
      <c r="B416" s="58"/>
      <c r="C416" s="59"/>
      <c r="D416" s="59"/>
      <c r="E416" s="60"/>
      <c r="F416" s="61"/>
      <c r="G416" s="62"/>
      <c r="H416"/>
      <c r="I416" s="78"/>
      <c r="J416" s="64"/>
      <c r="L416" s="75"/>
      <c r="M416" s="67"/>
      <c r="N416" s="77"/>
      <c r="O416" s="2"/>
      <c r="P416" s="2"/>
    </row>
    <row r="417" spans="2:16" x14ac:dyDescent="0.35">
      <c r="B417" s="58"/>
      <c r="C417" s="59"/>
      <c r="D417" s="59"/>
      <c r="E417" s="60"/>
      <c r="F417" s="61"/>
      <c r="G417" s="62"/>
      <c r="H417"/>
      <c r="I417" s="78"/>
      <c r="J417" s="64"/>
      <c r="L417" s="75"/>
      <c r="M417" s="67"/>
      <c r="N417" s="77"/>
      <c r="O417" s="2"/>
      <c r="P417" s="2"/>
    </row>
    <row r="418" spans="2:16" x14ac:dyDescent="0.35">
      <c r="B418" s="58"/>
      <c r="C418" s="59"/>
      <c r="D418" s="59"/>
      <c r="E418" s="60"/>
      <c r="F418" s="61"/>
      <c r="G418" s="62"/>
      <c r="H418"/>
      <c r="I418" s="78"/>
      <c r="J418" s="64"/>
      <c r="L418" s="75"/>
      <c r="M418" s="67"/>
      <c r="N418" s="77"/>
      <c r="O418" s="2"/>
      <c r="P418" s="2"/>
    </row>
    <row r="419" spans="2:16" x14ac:dyDescent="0.35">
      <c r="B419" s="58"/>
      <c r="C419" s="59"/>
      <c r="D419" s="59"/>
      <c r="E419" s="60"/>
      <c r="F419" s="61"/>
      <c r="G419" s="62"/>
      <c r="H419"/>
      <c r="I419" s="78"/>
      <c r="J419" s="64"/>
      <c r="L419" s="75"/>
      <c r="M419" s="67"/>
      <c r="N419" s="77"/>
      <c r="O419" s="2"/>
      <c r="P419" s="2"/>
    </row>
    <row r="420" spans="2:16" x14ac:dyDescent="0.35">
      <c r="B420" s="58"/>
      <c r="C420" s="59"/>
      <c r="D420" s="59"/>
      <c r="E420" s="60"/>
      <c r="F420" s="61"/>
      <c r="G420" s="62"/>
      <c r="H420"/>
      <c r="I420" s="78"/>
      <c r="J420" s="64"/>
      <c r="L420" s="75"/>
      <c r="M420" s="67"/>
      <c r="N420" s="77"/>
      <c r="O420" s="2"/>
      <c r="P420" s="2"/>
    </row>
    <row r="421" spans="2:16" x14ac:dyDescent="0.35">
      <c r="B421" s="58"/>
      <c r="C421" s="59"/>
      <c r="D421" s="59"/>
      <c r="E421" s="60"/>
      <c r="F421" s="61"/>
      <c r="G421" s="62"/>
      <c r="H421"/>
      <c r="I421" s="78"/>
      <c r="J421" s="64"/>
      <c r="L421" s="75"/>
      <c r="M421" s="67"/>
      <c r="N421" s="77"/>
      <c r="O421" s="2"/>
      <c r="P421" s="2"/>
    </row>
    <row r="422" spans="2:16" x14ac:dyDescent="0.35">
      <c r="B422" s="58"/>
      <c r="C422" s="59"/>
      <c r="D422" s="59"/>
      <c r="E422" s="60"/>
      <c r="F422" s="61"/>
      <c r="G422" s="62"/>
      <c r="H422"/>
      <c r="I422" s="78"/>
      <c r="J422" s="64"/>
      <c r="L422" s="75"/>
      <c r="M422" s="67"/>
      <c r="N422" s="77"/>
      <c r="O422" s="2"/>
      <c r="P422" s="2"/>
    </row>
    <row r="423" spans="2:16" ht="15" customHeight="1" x14ac:dyDescent="0.35">
      <c r="B423" s="58"/>
      <c r="C423" s="59"/>
      <c r="D423" s="59"/>
      <c r="E423" s="60"/>
      <c r="F423" s="61"/>
      <c r="G423" s="62"/>
      <c r="H423"/>
      <c r="I423" s="78"/>
      <c r="J423" s="64"/>
      <c r="L423" s="75"/>
      <c r="M423" s="67"/>
      <c r="N423" s="77"/>
      <c r="O423" s="2"/>
      <c r="P423" s="2"/>
    </row>
    <row r="424" spans="2:16" x14ac:dyDescent="0.35">
      <c r="B424" s="58"/>
      <c r="C424" s="59"/>
      <c r="D424" s="59"/>
      <c r="E424" s="60"/>
      <c r="F424" s="61"/>
      <c r="G424" s="62"/>
      <c r="H424"/>
      <c r="I424" s="78"/>
      <c r="J424" s="64"/>
      <c r="L424" s="75"/>
      <c r="M424" s="67"/>
      <c r="N424" s="77"/>
      <c r="O424" s="2"/>
      <c r="P424" s="2"/>
    </row>
    <row r="425" spans="2:16" x14ac:dyDescent="0.35">
      <c r="B425" s="58"/>
      <c r="C425" s="59"/>
      <c r="D425" s="59"/>
      <c r="E425" s="60"/>
      <c r="F425" s="61"/>
      <c r="G425" s="62"/>
      <c r="H425"/>
      <c r="I425" s="78"/>
      <c r="J425" s="64"/>
      <c r="L425" s="75"/>
      <c r="M425" s="67"/>
      <c r="N425" s="77"/>
      <c r="O425" s="2"/>
      <c r="P425" s="2"/>
    </row>
    <row r="426" spans="2:16" x14ac:dyDescent="0.35">
      <c r="B426" s="58"/>
      <c r="C426" s="59"/>
      <c r="D426" s="59"/>
      <c r="E426" s="60"/>
      <c r="F426" s="61"/>
      <c r="G426" s="62"/>
      <c r="H426"/>
      <c r="I426" s="78"/>
      <c r="J426" s="64"/>
      <c r="L426" s="75"/>
      <c r="M426" s="67"/>
      <c r="N426" s="77"/>
      <c r="O426" s="2"/>
      <c r="P426" s="2"/>
    </row>
    <row r="427" spans="2:16" x14ac:dyDescent="0.35">
      <c r="B427" s="58"/>
      <c r="C427" s="59"/>
      <c r="D427" s="59"/>
      <c r="E427" s="60"/>
      <c r="F427" s="61"/>
      <c r="G427" s="62"/>
      <c r="H427"/>
      <c r="I427" s="78"/>
      <c r="J427" s="64"/>
      <c r="L427" s="75"/>
      <c r="M427" s="67"/>
      <c r="N427" s="77"/>
      <c r="O427" s="2"/>
      <c r="P427" s="2"/>
    </row>
    <row r="428" spans="2:16" x14ac:dyDescent="0.35">
      <c r="B428" s="58"/>
      <c r="C428" s="59"/>
      <c r="D428" s="59"/>
      <c r="E428" s="60"/>
      <c r="F428" s="61"/>
      <c r="G428" s="62"/>
      <c r="H428"/>
      <c r="I428" s="78"/>
      <c r="J428" s="64"/>
      <c r="L428" s="75"/>
      <c r="M428" s="67"/>
      <c r="N428" s="77"/>
      <c r="O428" s="2"/>
      <c r="P428" s="2"/>
    </row>
    <row r="429" spans="2:16" x14ac:dyDescent="0.35">
      <c r="B429" s="58"/>
      <c r="C429" s="59"/>
      <c r="D429" s="59"/>
      <c r="E429" s="60"/>
      <c r="F429" s="61"/>
      <c r="G429" s="62"/>
      <c r="H429"/>
      <c r="I429" s="78"/>
      <c r="J429" s="64"/>
      <c r="L429" s="75"/>
      <c r="M429" s="67"/>
      <c r="N429" s="77"/>
      <c r="O429" s="2"/>
      <c r="P429" s="2"/>
    </row>
    <row r="430" spans="2:16" x14ac:dyDescent="0.35">
      <c r="B430" s="58"/>
      <c r="C430" s="59"/>
      <c r="D430" s="59"/>
      <c r="E430" s="60"/>
      <c r="F430" s="61"/>
      <c r="G430" s="62"/>
      <c r="H430"/>
      <c r="I430" s="78"/>
      <c r="J430" s="64"/>
      <c r="L430" s="75"/>
      <c r="M430" s="67"/>
      <c r="N430" s="77"/>
      <c r="O430" s="2"/>
      <c r="P430" s="2"/>
    </row>
    <row r="431" spans="2:16" x14ac:dyDescent="0.35">
      <c r="B431" s="58"/>
      <c r="C431" s="59"/>
      <c r="D431" s="59"/>
      <c r="E431" s="60"/>
      <c r="F431" s="61"/>
      <c r="G431" s="62"/>
      <c r="H431"/>
      <c r="I431" s="78"/>
      <c r="J431" s="64"/>
      <c r="L431" s="75"/>
      <c r="M431" s="67"/>
      <c r="N431" s="77"/>
      <c r="O431" s="2"/>
      <c r="P431" s="2"/>
    </row>
    <row r="432" spans="2:16" x14ac:dyDescent="0.35">
      <c r="B432" s="58"/>
      <c r="C432" s="59"/>
      <c r="D432" s="59"/>
      <c r="E432" s="60"/>
      <c r="F432" s="61"/>
      <c r="G432" s="62"/>
      <c r="H432"/>
      <c r="I432" s="78"/>
      <c r="J432" s="64"/>
      <c r="L432" s="75"/>
      <c r="M432" s="67"/>
      <c r="N432" s="77"/>
      <c r="O432" s="2"/>
      <c r="P432" s="2"/>
    </row>
    <row r="433" spans="2:16" x14ac:dyDescent="0.35">
      <c r="B433" s="58"/>
      <c r="C433" s="59"/>
      <c r="D433" s="59"/>
      <c r="E433" s="60"/>
      <c r="F433" s="61"/>
      <c r="G433" s="62"/>
      <c r="H433"/>
      <c r="I433" s="78"/>
      <c r="J433" s="64"/>
      <c r="L433" s="75"/>
      <c r="M433" s="67"/>
      <c r="N433" s="77"/>
      <c r="O433" s="2"/>
      <c r="P433" s="2"/>
    </row>
    <row r="434" spans="2:16" x14ac:dyDescent="0.35">
      <c r="B434" s="58"/>
      <c r="C434" s="59"/>
      <c r="D434" s="59"/>
      <c r="E434" s="60"/>
      <c r="F434" s="61"/>
      <c r="G434" s="62"/>
      <c r="H434"/>
      <c r="I434" s="78"/>
      <c r="J434" s="64"/>
      <c r="L434" s="75"/>
      <c r="M434" s="67"/>
      <c r="N434" s="77"/>
      <c r="O434" s="2"/>
      <c r="P434" s="2"/>
    </row>
    <row r="435" spans="2:16" x14ac:dyDescent="0.35">
      <c r="B435" s="58"/>
      <c r="C435" s="59"/>
      <c r="D435" s="59"/>
      <c r="E435" s="60"/>
      <c r="F435" s="61"/>
      <c r="G435" s="62"/>
      <c r="H435"/>
      <c r="I435" s="78"/>
      <c r="J435" s="64"/>
      <c r="L435" s="75"/>
      <c r="M435" s="67"/>
      <c r="N435" s="77"/>
      <c r="O435" s="2"/>
      <c r="P435" s="2"/>
    </row>
    <row r="436" spans="2:16" x14ac:dyDescent="0.35">
      <c r="B436" s="58"/>
      <c r="C436" s="59"/>
      <c r="D436" s="59"/>
      <c r="E436" s="60"/>
      <c r="F436" s="61"/>
      <c r="G436" s="62"/>
      <c r="H436"/>
      <c r="I436" s="78"/>
      <c r="J436" s="64"/>
      <c r="L436" s="75"/>
      <c r="M436" s="67"/>
      <c r="N436" s="77"/>
      <c r="O436" s="2"/>
      <c r="P436" s="2"/>
    </row>
    <row r="437" spans="2:16" x14ac:dyDescent="0.35">
      <c r="B437" s="58"/>
      <c r="C437" s="59"/>
      <c r="D437" s="59"/>
      <c r="E437" s="60"/>
      <c r="F437" s="61"/>
      <c r="G437" s="62"/>
      <c r="H437"/>
      <c r="I437" s="78"/>
      <c r="J437" s="64"/>
      <c r="L437" s="75"/>
      <c r="M437" s="67"/>
      <c r="N437" s="77"/>
      <c r="O437" s="2"/>
      <c r="P437" s="2"/>
    </row>
    <row r="438" spans="2:16" x14ac:dyDescent="0.35">
      <c r="B438" s="58"/>
      <c r="C438" s="59"/>
      <c r="D438" s="59"/>
      <c r="E438" s="60"/>
      <c r="F438" s="61"/>
      <c r="G438" s="62"/>
      <c r="H438"/>
      <c r="I438" s="78"/>
      <c r="J438" s="90"/>
      <c r="L438" s="75"/>
      <c r="M438" s="67"/>
      <c r="N438" s="77"/>
    </row>
    <row r="439" spans="2:16" x14ac:dyDescent="0.35">
      <c r="B439" s="58"/>
      <c r="C439" s="59"/>
      <c r="D439" s="59"/>
      <c r="E439" s="60"/>
      <c r="F439" s="61"/>
      <c r="G439" s="62"/>
      <c r="H439"/>
      <c r="I439" s="78"/>
      <c r="J439" s="90"/>
      <c r="L439" s="75"/>
      <c r="M439" s="67"/>
      <c r="N439" s="77"/>
    </row>
    <row r="440" spans="2:16" x14ac:dyDescent="0.35">
      <c r="B440" s="58"/>
      <c r="C440" s="59"/>
      <c r="D440" s="59"/>
      <c r="E440" s="60"/>
      <c r="F440" s="61"/>
      <c r="G440" s="62"/>
      <c r="H440"/>
      <c r="I440" s="78"/>
      <c r="J440" s="90"/>
      <c r="L440" s="75"/>
      <c r="M440" s="67"/>
      <c r="N440" s="77"/>
    </row>
    <row r="441" spans="2:16" x14ac:dyDescent="0.35">
      <c r="B441" s="58"/>
      <c r="C441" s="59"/>
      <c r="D441" s="59"/>
      <c r="E441" s="60"/>
      <c r="F441" s="61"/>
      <c r="G441" s="62"/>
      <c r="H441"/>
      <c r="I441" s="78"/>
      <c r="J441" s="90"/>
      <c r="L441" s="75"/>
      <c r="M441" s="67"/>
      <c r="N441" s="77"/>
    </row>
    <row r="442" spans="2:16" x14ac:dyDescent="0.35">
      <c r="B442" s="58"/>
      <c r="C442" s="59"/>
      <c r="D442" s="59"/>
      <c r="E442" s="60"/>
      <c r="F442" s="61"/>
      <c r="G442" s="62"/>
      <c r="H442"/>
      <c r="I442" s="78"/>
      <c r="J442" s="90"/>
      <c r="L442" s="75"/>
      <c r="M442" s="67"/>
      <c r="N442" s="77"/>
    </row>
    <row r="443" spans="2:16" x14ac:dyDescent="0.35">
      <c r="B443" s="58"/>
      <c r="C443" s="59"/>
      <c r="D443" s="59"/>
      <c r="E443" s="60"/>
      <c r="F443" s="61"/>
      <c r="G443" s="62"/>
      <c r="H443"/>
      <c r="I443" s="78"/>
      <c r="J443" s="90"/>
      <c r="L443" s="75"/>
      <c r="M443" s="67"/>
      <c r="N443" s="77"/>
    </row>
    <row r="444" spans="2:16" x14ac:dyDescent="0.35">
      <c r="B444" s="58"/>
      <c r="C444" s="59"/>
      <c r="D444" s="59"/>
      <c r="E444" s="60"/>
      <c r="F444" s="61"/>
      <c r="G444" s="62"/>
      <c r="H444"/>
      <c r="I444" s="78"/>
      <c r="J444" s="90"/>
      <c r="L444" s="75"/>
      <c r="M444" s="67"/>
      <c r="N444" s="77"/>
    </row>
    <row r="445" spans="2:16" x14ac:dyDescent="0.35">
      <c r="B445" s="58"/>
      <c r="C445" s="59"/>
      <c r="D445" s="59"/>
      <c r="E445" s="60"/>
      <c r="F445" s="61"/>
      <c r="G445" s="62"/>
      <c r="H445"/>
      <c r="I445" s="78"/>
      <c r="J445" s="90"/>
      <c r="L445" s="66"/>
      <c r="M445" s="67"/>
      <c r="N445" s="77"/>
    </row>
    <row r="446" spans="2:16" x14ac:dyDescent="0.35">
      <c r="B446" s="58"/>
      <c r="C446" s="59"/>
      <c r="D446" s="59"/>
      <c r="E446" s="60"/>
      <c r="F446" s="61"/>
      <c r="G446" s="62"/>
      <c r="H446"/>
      <c r="I446" s="78"/>
      <c r="J446" s="90"/>
      <c r="L446" s="75"/>
      <c r="M446" s="67"/>
      <c r="N446" s="77"/>
    </row>
    <row r="447" spans="2:16" x14ac:dyDescent="0.35">
      <c r="B447" s="58"/>
      <c r="C447" s="59"/>
      <c r="D447" s="59"/>
      <c r="E447" s="60"/>
      <c r="F447" s="61"/>
      <c r="G447" s="62"/>
      <c r="H447"/>
      <c r="I447" s="78"/>
      <c r="J447" s="90"/>
      <c r="L447" s="75"/>
      <c r="M447" s="67"/>
      <c r="N447" s="77"/>
    </row>
    <row r="448" spans="2:16" x14ac:dyDescent="0.35">
      <c r="B448" s="58"/>
      <c r="C448" s="59"/>
      <c r="D448" s="59"/>
      <c r="E448" s="60"/>
      <c r="F448" s="61"/>
      <c r="G448" s="62"/>
      <c r="H448"/>
      <c r="I448" s="78"/>
      <c r="J448" s="91"/>
      <c r="K448" s="65"/>
      <c r="L448" s="66"/>
      <c r="M448" s="67"/>
      <c r="N448" s="77"/>
    </row>
    <row r="449" spans="2:14" x14ac:dyDescent="0.35">
      <c r="B449" s="58"/>
      <c r="C449" s="59"/>
      <c r="D449" s="59"/>
      <c r="E449" s="60"/>
      <c r="F449" s="61"/>
      <c r="G449" s="62"/>
      <c r="H449"/>
      <c r="I449" s="78"/>
      <c r="J449" s="91"/>
      <c r="K449" s="65"/>
      <c r="L449" s="66"/>
      <c r="M449" s="67"/>
      <c r="N449" s="77"/>
    </row>
    <row r="450" spans="2:14" x14ac:dyDescent="0.35">
      <c r="B450" s="58"/>
      <c r="C450" s="59"/>
      <c r="D450" s="59"/>
      <c r="E450" s="60"/>
      <c r="F450" s="61"/>
      <c r="G450" s="62"/>
      <c r="H450"/>
      <c r="I450" s="78"/>
      <c r="J450" s="91"/>
      <c r="K450" s="65"/>
      <c r="L450" s="66"/>
      <c r="M450" s="67"/>
      <c r="N450" s="77"/>
    </row>
    <row r="451" spans="2:14" x14ac:dyDescent="0.35">
      <c r="B451" s="58"/>
      <c r="C451" s="59"/>
      <c r="D451" s="59"/>
      <c r="E451" s="60"/>
      <c r="F451" s="61"/>
      <c r="G451" s="62"/>
      <c r="H451"/>
      <c r="I451" s="78"/>
      <c r="J451" s="91"/>
      <c r="K451" s="65"/>
      <c r="L451" s="66"/>
      <c r="M451" s="67"/>
      <c r="N451" s="77"/>
    </row>
    <row r="452" spans="2:14" x14ac:dyDescent="0.35">
      <c r="B452" s="58"/>
      <c r="C452" s="59"/>
      <c r="D452" s="59"/>
      <c r="E452" s="60"/>
      <c r="F452" s="61"/>
      <c r="G452" s="62"/>
      <c r="H452"/>
      <c r="I452" s="78"/>
      <c r="J452" s="91"/>
      <c r="K452" s="65"/>
      <c r="L452" s="66"/>
      <c r="M452" s="67"/>
      <c r="N452" s="77"/>
    </row>
    <row r="453" spans="2:14" x14ac:dyDescent="0.35">
      <c r="B453" s="58"/>
      <c r="C453" s="59"/>
      <c r="D453" s="59"/>
      <c r="E453" s="60"/>
      <c r="F453" s="61"/>
      <c r="G453" s="62"/>
      <c r="H453"/>
      <c r="I453" s="78"/>
      <c r="J453" s="91"/>
      <c r="K453" s="65"/>
      <c r="L453" s="66"/>
      <c r="M453" s="67"/>
      <c r="N453" s="77"/>
    </row>
    <row r="454" spans="2:14" x14ac:dyDescent="0.35">
      <c r="B454" s="58"/>
      <c r="C454" s="59"/>
      <c r="D454" s="59"/>
      <c r="E454" s="60"/>
      <c r="F454" s="61"/>
      <c r="G454" s="62"/>
      <c r="H454"/>
      <c r="I454" s="78"/>
      <c r="J454" s="91"/>
      <c r="K454" s="65"/>
      <c r="L454" s="66"/>
      <c r="M454" s="67"/>
      <c r="N454" s="77"/>
    </row>
    <row r="455" spans="2:14" x14ac:dyDescent="0.35">
      <c r="B455" s="58"/>
      <c r="C455" s="59"/>
      <c r="D455" s="59"/>
      <c r="E455" s="60"/>
      <c r="F455" s="61"/>
      <c r="G455" s="62"/>
      <c r="H455"/>
      <c r="I455" s="78"/>
      <c r="J455" s="91"/>
      <c r="K455" s="65"/>
      <c r="L455" s="66"/>
      <c r="M455" s="67"/>
      <c r="N455" s="77"/>
    </row>
    <row r="456" spans="2:14" x14ac:dyDescent="0.35">
      <c r="B456" s="58"/>
      <c r="C456" s="59"/>
      <c r="D456" s="59"/>
      <c r="E456" s="60"/>
      <c r="F456" s="61"/>
      <c r="G456" s="62"/>
      <c r="H456"/>
      <c r="I456" s="78"/>
      <c r="J456" s="91"/>
      <c r="K456" s="65"/>
      <c r="L456" s="66"/>
      <c r="M456" s="67"/>
      <c r="N456" s="77"/>
    </row>
    <row r="457" spans="2:14" x14ac:dyDescent="0.35">
      <c r="B457" s="58"/>
      <c r="C457" s="59"/>
      <c r="D457" s="59"/>
      <c r="E457" s="60"/>
      <c r="F457" s="61"/>
      <c r="G457" s="62"/>
      <c r="H457"/>
      <c r="I457" s="78"/>
      <c r="J457" s="91"/>
      <c r="K457" s="65"/>
      <c r="L457" s="66"/>
      <c r="M457" s="67"/>
      <c r="N457" s="77"/>
    </row>
    <row r="458" spans="2:14" x14ac:dyDescent="0.35">
      <c r="B458" s="58"/>
      <c r="C458" s="59"/>
      <c r="D458" s="59"/>
      <c r="E458" s="60"/>
      <c r="F458" s="61"/>
      <c r="G458" s="62"/>
      <c r="H458"/>
      <c r="I458" s="78"/>
      <c r="J458" s="91"/>
      <c r="K458" s="70"/>
      <c r="L458" s="66"/>
      <c r="M458" s="67"/>
      <c r="N458" s="77"/>
    </row>
    <row r="459" spans="2:14" x14ac:dyDescent="0.35">
      <c r="B459" s="58"/>
      <c r="C459" s="59"/>
      <c r="D459" s="59"/>
      <c r="E459" s="60"/>
      <c r="F459" s="61"/>
      <c r="G459" s="62"/>
      <c r="H459"/>
      <c r="I459" s="78"/>
      <c r="J459" s="91"/>
      <c r="K459" s="65"/>
      <c r="L459" s="66"/>
      <c r="M459" s="67"/>
      <c r="N459" s="77"/>
    </row>
    <row r="460" spans="2:14" x14ac:dyDescent="0.35">
      <c r="B460" s="58"/>
      <c r="C460" s="59"/>
      <c r="D460" s="59"/>
      <c r="E460" s="60"/>
      <c r="F460" s="61"/>
      <c r="G460" s="62"/>
      <c r="H460"/>
      <c r="I460" s="78"/>
      <c r="J460" s="91"/>
      <c r="K460" s="65"/>
      <c r="L460" s="66"/>
      <c r="M460" s="67"/>
      <c r="N460" s="77"/>
    </row>
    <row r="461" spans="2:14" x14ac:dyDescent="0.35">
      <c r="B461" s="58"/>
      <c r="C461" s="59"/>
      <c r="D461" s="59"/>
      <c r="E461" s="60"/>
      <c r="F461" s="61"/>
      <c r="G461" s="62"/>
      <c r="H461"/>
      <c r="I461" s="78"/>
      <c r="J461" s="91"/>
      <c r="K461" s="65"/>
      <c r="L461" s="66"/>
      <c r="M461" s="67"/>
      <c r="N461" s="77"/>
    </row>
    <row r="462" spans="2:14" x14ac:dyDescent="0.35">
      <c r="B462" s="58"/>
      <c r="C462" s="59"/>
      <c r="D462" s="59"/>
      <c r="E462" s="60"/>
      <c r="F462" s="61"/>
      <c r="G462" s="62"/>
      <c r="H462"/>
      <c r="I462" s="78"/>
      <c r="J462" s="91"/>
      <c r="K462" s="65"/>
      <c r="L462" s="66"/>
      <c r="M462" s="67"/>
      <c r="N462" s="77"/>
    </row>
    <row r="463" spans="2:14" x14ac:dyDescent="0.35">
      <c r="B463" s="58"/>
      <c r="C463" s="59"/>
      <c r="D463" s="59"/>
      <c r="E463" s="60"/>
      <c r="F463" s="61"/>
      <c r="G463" s="62"/>
      <c r="H463"/>
      <c r="I463" s="78"/>
      <c r="J463" s="91"/>
      <c r="K463" s="65"/>
      <c r="L463" s="66"/>
      <c r="M463" s="67"/>
      <c r="N463" s="77"/>
    </row>
    <row r="464" spans="2:14" x14ac:dyDescent="0.35">
      <c r="B464" s="58"/>
      <c r="C464" s="59"/>
      <c r="D464" s="59"/>
      <c r="E464" s="60"/>
      <c r="F464" s="61"/>
      <c r="G464" s="62"/>
      <c r="H464"/>
      <c r="I464" s="78"/>
      <c r="J464" s="91"/>
      <c r="K464" s="65"/>
      <c r="L464" s="66"/>
      <c r="M464" s="67"/>
      <c r="N464" s="77"/>
    </row>
    <row r="465" spans="2:14" x14ac:dyDescent="0.35">
      <c r="B465" s="58"/>
      <c r="C465" s="59"/>
      <c r="D465" s="59"/>
      <c r="E465" s="60"/>
      <c r="F465" s="61"/>
      <c r="G465" s="62"/>
      <c r="H465"/>
      <c r="I465" s="78"/>
      <c r="J465" s="91"/>
      <c r="K465" s="65"/>
      <c r="L465" s="66"/>
      <c r="M465" s="67"/>
      <c r="N465" s="77"/>
    </row>
    <row r="466" spans="2:14" x14ac:dyDescent="0.35">
      <c r="B466" s="58"/>
      <c r="C466" s="59"/>
      <c r="D466" s="59"/>
      <c r="E466" s="60"/>
      <c r="F466" s="61"/>
      <c r="G466" s="62"/>
      <c r="H466"/>
      <c r="I466" s="78"/>
      <c r="J466" s="90"/>
      <c r="L466" s="75"/>
      <c r="M466" s="67"/>
      <c r="N466" s="77"/>
    </row>
    <row r="467" spans="2:14" x14ac:dyDescent="0.35">
      <c r="B467" s="58"/>
      <c r="C467" s="59"/>
      <c r="D467" s="59"/>
      <c r="E467" s="60"/>
      <c r="F467" s="61"/>
      <c r="G467" s="62"/>
      <c r="H467"/>
      <c r="I467" s="78"/>
      <c r="J467" s="90"/>
      <c r="L467" s="75"/>
      <c r="M467" s="67"/>
      <c r="N467" s="77"/>
    </row>
    <row r="468" spans="2:14" x14ac:dyDescent="0.35">
      <c r="B468" s="58"/>
      <c r="C468" s="59"/>
      <c r="D468" s="59"/>
      <c r="E468" s="60"/>
      <c r="F468" s="61"/>
      <c r="G468" s="62"/>
      <c r="H468"/>
      <c r="I468" s="78"/>
      <c r="J468" s="91"/>
      <c r="K468" s="65"/>
      <c r="L468" s="66"/>
      <c r="M468" s="67"/>
      <c r="N468" s="77"/>
    </row>
    <row r="469" spans="2:14" x14ac:dyDescent="0.35">
      <c r="B469" s="58"/>
      <c r="C469" s="59"/>
      <c r="D469" s="59"/>
      <c r="E469" s="60"/>
      <c r="F469" s="61"/>
      <c r="G469" s="62"/>
      <c r="H469"/>
      <c r="I469" s="78"/>
      <c r="J469" s="91"/>
      <c r="K469" s="65"/>
      <c r="L469" s="66"/>
      <c r="M469" s="67"/>
      <c r="N469" s="77"/>
    </row>
    <row r="470" spans="2:14" x14ac:dyDescent="0.35">
      <c r="B470" s="58"/>
      <c r="C470" s="59"/>
      <c r="D470" s="59"/>
      <c r="E470" s="60"/>
      <c r="F470" s="61"/>
      <c r="G470" s="62"/>
      <c r="H470"/>
      <c r="I470" s="78"/>
      <c r="J470" s="91"/>
      <c r="K470" s="65"/>
      <c r="L470" s="66"/>
      <c r="M470" s="67"/>
      <c r="N470" s="77"/>
    </row>
    <row r="471" spans="2:14" x14ac:dyDescent="0.35">
      <c r="B471" s="58"/>
      <c r="C471" s="59"/>
      <c r="D471" s="59"/>
      <c r="E471" s="60"/>
      <c r="F471" s="61"/>
      <c r="G471" s="62"/>
      <c r="H471"/>
      <c r="I471" s="78"/>
      <c r="J471" s="91"/>
      <c r="K471" s="65"/>
      <c r="L471" s="66"/>
      <c r="M471" s="67"/>
      <c r="N471" s="77"/>
    </row>
    <row r="472" spans="2:14" x14ac:dyDescent="0.35">
      <c r="B472" s="58"/>
      <c r="C472" s="59"/>
      <c r="D472" s="59"/>
      <c r="E472" s="60"/>
      <c r="F472" s="61"/>
      <c r="G472" s="62"/>
      <c r="H472"/>
      <c r="I472" s="78"/>
      <c r="J472" s="91"/>
      <c r="K472" s="65"/>
      <c r="L472" s="66"/>
      <c r="M472" s="67"/>
      <c r="N472" s="77"/>
    </row>
    <row r="473" spans="2:14" x14ac:dyDescent="0.35">
      <c r="B473" s="58"/>
      <c r="C473" s="59"/>
      <c r="D473" s="59"/>
      <c r="E473" s="60"/>
      <c r="F473" s="61"/>
      <c r="G473" s="62"/>
      <c r="H473"/>
      <c r="I473" s="78"/>
      <c r="J473" s="91"/>
      <c r="K473" s="65"/>
      <c r="L473" s="66"/>
      <c r="M473" s="67"/>
      <c r="N473" s="77"/>
    </row>
    <row r="474" spans="2:14" x14ac:dyDescent="0.35">
      <c r="B474" s="58"/>
      <c r="C474" s="59"/>
      <c r="D474" s="59"/>
      <c r="E474" s="60"/>
      <c r="F474" s="61"/>
      <c r="G474" s="62"/>
      <c r="H474"/>
      <c r="I474" s="78"/>
      <c r="J474" s="91"/>
      <c r="K474" s="65"/>
      <c r="L474" s="66"/>
      <c r="M474" s="67"/>
      <c r="N474" s="77"/>
    </row>
    <row r="475" spans="2:14" x14ac:dyDescent="0.35">
      <c r="B475" s="58"/>
      <c r="C475" s="59"/>
      <c r="D475" s="59"/>
      <c r="E475" s="60"/>
      <c r="F475" s="61"/>
      <c r="G475" s="62"/>
      <c r="H475"/>
      <c r="I475" s="78"/>
      <c r="J475" s="91"/>
      <c r="K475" s="65"/>
      <c r="L475" s="66"/>
      <c r="M475" s="67"/>
      <c r="N475" s="77"/>
    </row>
    <row r="476" spans="2:14" x14ac:dyDescent="0.35">
      <c r="B476" s="58"/>
      <c r="C476" s="59"/>
      <c r="D476" s="59"/>
      <c r="E476" s="60"/>
      <c r="F476" s="61"/>
      <c r="G476" s="62"/>
      <c r="H476"/>
      <c r="I476" s="78"/>
      <c r="J476" s="91"/>
      <c r="K476" s="65"/>
      <c r="L476" s="66"/>
      <c r="M476" s="67"/>
      <c r="N476" s="77"/>
    </row>
    <row r="477" spans="2:14" x14ac:dyDescent="0.35">
      <c r="B477" s="58"/>
      <c r="C477" s="59"/>
      <c r="D477" s="59"/>
      <c r="E477" s="60"/>
      <c r="F477" s="61"/>
      <c r="G477" s="62"/>
      <c r="H477"/>
      <c r="I477" s="78"/>
      <c r="J477" s="91"/>
      <c r="K477" s="65"/>
      <c r="L477" s="66"/>
      <c r="M477" s="67"/>
      <c r="N477" s="77"/>
    </row>
    <row r="478" spans="2:14" x14ac:dyDescent="0.35">
      <c r="B478" s="58"/>
      <c r="C478" s="59"/>
      <c r="D478" s="59"/>
      <c r="E478" s="60"/>
      <c r="F478" s="61"/>
      <c r="G478" s="62"/>
      <c r="H478"/>
      <c r="I478" s="78"/>
      <c r="J478" s="91"/>
      <c r="K478" s="65"/>
      <c r="L478" s="66"/>
      <c r="M478" s="67"/>
      <c r="N478" s="77"/>
    </row>
    <row r="479" spans="2:14" x14ac:dyDescent="0.35">
      <c r="B479" s="58"/>
      <c r="C479" s="59"/>
      <c r="D479" s="59"/>
      <c r="E479" s="60"/>
      <c r="F479" s="61"/>
      <c r="G479" s="62"/>
      <c r="H479"/>
      <c r="I479" s="78"/>
      <c r="J479" s="91"/>
      <c r="K479" s="65"/>
      <c r="L479" s="66"/>
      <c r="M479" s="67"/>
      <c r="N479" s="77"/>
    </row>
    <row r="480" spans="2:14" x14ac:dyDescent="0.35">
      <c r="B480" s="58"/>
      <c r="C480" s="59"/>
      <c r="D480" s="59"/>
      <c r="E480" s="60"/>
      <c r="F480" s="61"/>
      <c r="G480" s="62"/>
      <c r="H480"/>
      <c r="I480" s="78"/>
      <c r="J480" s="91"/>
      <c r="K480" s="65"/>
      <c r="L480" s="66"/>
      <c r="M480" s="67"/>
      <c r="N480" s="77"/>
    </row>
    <row r="481" spans="2:14" x14ac:dyDescent="0.35">
      <c r="B481" s="58"/>
      <c r="C481" s="59"/>
      <c r="D481" s="59"/>
      <c r="E481" s="60"/>
      <c r="F481" s="61"/>
      <c r="G481" s="62"/>
      <c r="H481"/>
      <c r="I481" s="78"/>
      <c r="J481" s="91"/>
      <c r="K481" s="70"/>
      <c r="L481" s="66"/>
      <c r="M481" s="67"/>
      <c r="N481" s="77"/>
    </row>
    <row r="482" spans="2:14" x14ac:dyDescent="0.35">
      <c r="B482" s="58"/>
      <c r="C482" s="59"/>
      <c r="D482" s="59"/>
      <c r="E482" s="60"/>
      <c r="F482" s="61"/>
      <c r="G482" s="62"/>
      <c r="H482"/>
      <c r="I482" s="78"/>
      <c r="J482" s="91"/>
      <c r="K482" s="70"/>
      <c r="L482" s="66"/>
      <c r="M482" s="67"/>
      <c r="N482" s="77"/>
    </row>
    <row r="483" spans="2:14" x14ac:dyDescent="0.35">
      <c r="B483" s="58"/>
      <c r="C483" s="59"/>
      <c r="D483" s="59"/>
      <c r="E483" s="60"/>
      <c r="F483" s="61"/>
      <c r="G483" s="62"/>
      <c r="H483"/>
      <c r="I483" s="78"/>
      <c r="J483" s="91"/>
      <c r="K483" s="65"/>
      <c r="L483" s="66"/>
      <c r="M483" s="67"/>
      <c r="N483" s="77"/>
    </row>
    <row r="484" spans="2:14" x14ac:dyDescent="0.35">
      <c r="B484" s="58"/>
      <c r="C484" s="59"/>
      <c r="D484" s="59"/>
      <c r="E484" s="60"/>
      <c r="F484" s="61"/>
      <c r="G484" s="62"/>
      <c r="H484"/>
      <c r="I484" s="78"/>
      <c r="J484" s="91"/>
      <c r="K484" s="65"/>
      <c r="L484" s="66"/>
      <c r="M484" s="67"/>
      <c r="N484" s="77"/>
    </row>
    <row r="485" spans="2:14" x14ac:dyDescent="0.35">
      <c r="B485" s="58"/>
      <c r="C485" s="59"/>
      <c r="D485" s="59"/>
      <c r="E485" s="60"/>
      <c r="F485" s="61"/>
      <c r="G485" s="62"/>
      <c r="H485"/>
      <c r="I485" s="78"/>
      <c r="J485" s="91"/>
      <c r="K485" s="65"/>
      <c r="L485" s="66"/>
      <c r="M485" s="67"/>
      <c r="N485" s="77"/>
    </row>
    <row r="486" spans="2:14" s="81" customFormat="1" x14ac:dyDescent="0.35">
      <c r="B486" s="58"/>
      <c r="C486" s="59"/>
      <c r="D486" s="59"/>
      <c r="E486" s="60"/>
      <c r="F486" s="92"/>
      <c r="G486" s="93"/>
      <c r="H486" s="94"/>
      <c r="I486" s="95"/>
      <c r="J486" s="96"/>
      <c r="K486" s="82"/>
      <c r="L486" s="66"/>
      <c r="M486" s="83"/>
      <c r="N486" s="77"/>
    </row>
    <row r="487" spans="2:14" x14ac:dyDescent="0.35">
      <c r="B487" s="58"/>
      <c r="C487" s="59"/>
      <c r="D487" s="59"/>
      <c r="E487" s="60"/>
      <c r="F487" s="61"/>
      <c r="G487" s="62"/>
      <c r="H487"/>
      <c r="I487" s="78"/>
      <c r="J487" s="91"/>
      <c r="K487" s="65"/>
      <c r="L487" s="66"/>
      <c r="M487" s="67"/>
      <c r="N487" s="77"/>
    </row>
    <row r="488" spans="2:14" x14ac:dyDescent="0.35">
      <c r="B488" s="58"/>
      <c r="C488" s="59"/>
      <c r="D488" s="59"/>
      <c r="E488" s="60"/>
      <c r="F488" s="61"/>
      <c r="G488" s="62"/>
      <c r="H488"/>
      <c r="I488" s="78"/>
      <c r="J488" s="91"/>
      <c r="K488" s="65"/>
      <c r="L488" s="66"/>
      <c r="M488" s="67"/>
      <c r="N488" s="77"/>
    </row>
    <row r="489" spans="2:14" x14ac:dyDescent="0.35">
      <c r="B489" s="58"/>
      <c r="C489" s="59"/>
      <c r="D489" s="59"/>
      <c r="E489" s="60"/>
      <c r="F489" s="61"/>
      <c r="G489" s="62"/>
      <c r="H489"/>
      <c r="I489" s="78"/>
      <c r="J489" s="91"/>
      <c r="K489" s="65"/>
      <c r="L489" s="66"/>
      <c r="M489" s="67"/>
      <c r="N489" s="77"/>
    </row>
    <row r="490" spans="2:14" x14ac:dyDescent="0.35">
      <c r="B490" s="58"/>
      <c r="C490" s="59"/>
      <c r="D490" s="59"/>
      <c r="E490" s="60"/>
      <c r="F490" s="61"/>
      <c r="G490" s="62"/>
      <c r="H490"/>
      <c r="I490" s="78"/>
      <c r="J490" s="91"/>
      <c r="K490" s="65"/>
      <c r="L490" s="66"/>
      <c r="M490" s="67"/>
      <c r="N490" s="77"/>
    </row>
    <row r="491" spans="2:14" x14ac:dyDescent="0.35">
      <c r="B491" s="58"/>
      <c r="C491" s="59"/>
      <c r="D491" s="59"/>
      <c r="E491" s="60"/>
      <c r="F491" s="61"/>
      <c r="G491" s="62"/>
      <c r="H491"/>
      <c r="I491" s="78"/>
      <c r="J491" s="91"/>
      <c r="K491" s="65"/>
      <c r="L491" s="66"/>
      <c r="M491" s="67"/>
      <c r="N491" s="77"/>
    </row>
    <row r="492" spans="2:14" x14ac:dyDescent="0.35">
      <c r="B492" s="58"/>
      <c r="C492" s="59"/>
      <c r="D492" s="59"/>
      <c r="E492" s="60"/>
      <c r="F492" s="61"/>
      <c r="G492" s="62"/>
      <c r="H492"/>
      <c r="I492" s="78"/>
      <c r="J492" s="91"/>
      <c r="K492" s="65"/>
      <c r="L492" s="66"/>
      <c r="M492" s="67"/>
      <c r="N492" s="77"/>
    </row>
    <row r="493" spans="2:14" x14ac:dyDescent="0.35">
      <c r="B493" s="58"/>
      <c r="C493" s="59"/>
      <c r="D493" s="59"/>
      <c r="E493" s="60"/>
      <c r="F493" s="61"/>
      <c r="G493" s="62"/>
      <c r="H493"/>
      <c r="I493" s="78"/>
      <c r="J493" s="91"/>
      <c r="K493" s="65"/>
      <c r="L493" s="66"/>
      <c r="M493" s="67"/>
      <c r="N493" s="77"/>
    </row>
    <row r="494" spans="2:14" x14ac:dyDescent="0.35">
      <c r="B494" s="58"/>
      <c r="C494" s="59"/>
      <c r="D494" s="59"/>
      <c r="E494" s="60"/>
      <c r="F494" s="61"/>
      <c r="G494" s="62"/>
      <c r="H494"/>
      <c r="I494" s="78"/>
      <c r="J494" s="91"/>
      <c r="K494" s="65"/>
      <c r="L494" s="66"/>
      <c r="M494" s="67"/>
      <c r="N494" s="77"/>
    </row>
    <row r="495" spans="2:14" x14ac:dyDescent="0.35">
      <c r="B495" s="58"/>
      <c r="C495" s="59"/>
      <c r="D495" s="59"/>
      <c r="E495" s="60"/>
      <c r="F495" s="61"/>
      <c r="G495" s="62"/>
      <c r="H495"/>
      <c r="I495" s="78"/>
      <c r="J495" s="91"/>
      <c r="K495" s="65"/>
      <c r="L495" s="66"/>
      <c r="M495" s="67"/>
      <c r="N495" s="77"/>
    </row>
    <row r="496" spans="2:14" x14ac:dyDescent="0.35">
      <c r="B496" s="58"/>
      <c r="C496" s="59"/>
      <c r="D496" s="59"/>
      <c r="E496" s="60"/>
      <c r="F496" s="61"/>
      <c r="G496" s="62"/>
      <c r="H496"/>
      <c r="I496" s="78"/>
      <c r="J496" s="91"/>
      <c r="K496" s="65"/>
      <c r="L496" s="66"/>
      <c r="M496" s="67"/>
      <c r="N496" s="77"/>
    </row>
    <row r="497" spans="2:14" x14ac:dyDescent="0.35">
      <c r="B497" s="58"/>
      <c r="C497" s="59"/>
      <c r="D497" s="59"/>
      <c r="E497" s="60"/>
      <c r="F497" s="61"/>
      <c r="G497" s="62"/>
      <c r="H497"/>
      <c r="I497" s="78"/>
      <c r="J497" s="91"/>
      <c r="K497" s="65"/>
      <c r="L497" s="66"/>
      <c r="M497" s="67"/>
      <c r="N497" s="77"/>
    </row>
    <row r="498" spans="2:14" x14ac:dyDescent="0.35">
      <c r="B498" s="58"/>
      <c r="C498" s="59"/>
      <c r="D498" s="59"/>
      <c r="E498" s="60"/>
      <c r="F498" s="61"/>
      <c r="G498" s="62"/>
      <c r="H498"/>
      <c r="I498" s="78"/>
      <c r="J498" s="91"/>
      <c r="K498" s="65"/>
      <c r="L498" s="66"/>
      <c r="M498" s="67"/>
      <c r="N498" s="77"/>
    </row>
    <row r="499" spans="2:14" x14ac:dyDescent="0.35">
      <c r="B499" s="58"/>
      <c r="C499" s="59"/>
      <c r="D499" s="59"/>
      <c r="E499" s="60"/>
      <c r="F499" s="61"/>
      <c r="G499" s="62"/>
      <c r="H499"/>
      <c r="I499" s="78"/>
      <c r="J499" s="91"/>
      <c r="K499" s="65"/>
      <c r="L499" s="66"/>
      <c r="M499" s="67"/>
      <c r="N499" s="77"/>
    </row>
    <row r="500" spans="2:14" x14ac:dyDescent="0.35">
      <c r="B500" s="58"/>
      <c r="C500" s="59"/>
      <c r="D500" s="59"/>
      <c r="E500" s="60"/>
      <c r="F500" s="61"/>
      <c r="G500" s="62"/>
      <c r="H500"/>
      <c r="I500" s="78"/>
      <c r="J500" s="91"/>
      <c r="K500" s="65"/>
      <c r="L500" s="66"/>
      <c r="M500" s="67"/>
      <c r="N500" s="77"/>
    </row>
    <row r="501" spans="2:14" x14ac:dyDescent="0.35">
      <c r="B501" s="58"/>
      <c r="C501" s="59"/>
      <c r="D501" s="59"/>
      <c r="E501" s="60"/>
      <c r="F501" s="61"/>
      <c r="G501" s="62"/>
      <c r="H501"/>
      <c r="I501" s="78"/>
      <c r="J501" s="91"/>
      <c r="K501" s="65"/>
      <c r="L501" s="66"/>
      <c r="M501" s="67"/>
      <c r="N501" s="77"/>
    </row>
    <row r="502" spans="2:14" x14ac:dyDescent="0.35">
      <c r="B502" s="58"/>
      <c r="C502" s="59"/>
      <c r="D502" s="59"/>
      <c r="E502" s="60"/>
      <c r="F502" s="61"/>
      <c r="G502" s="62"/>
      <c r="H502"/>
      <c r="I502" s="78"/>
      <c r="J502" s="91"/>
      <c r="K502" s="65"/>
      <c r="L502" s="66"/>
      <c r="M502" s="67"/>
      <c r="N502" s="77"/>
    </row>
    <row r="503" spans="2:14" x14ac:dyDescent="0.35">
      <c r="B503" s="58"/>
      <c r="C503" s="59"/>
      <c r="D503" s="59"/>
      <c r="E503" s="60"/>
      <c r="F503" s="61"/>
      <c r="G503" s="62"/>
      <c r="H503"/>
      <c r="I503" s="78"/>
      <c r="J503" s="91"/>
      <c r="K503" s="65"/>
      <c r="L503" s="66"/>
      <c r="M503" s="67"/>
      <c r="N503" s="77"/>
    </row>
    <row r="504" spans="2:14" x14ac:dyDescent="0.35">
      <c r="B504" s="58"/>
      <c r="C504" s="59"/>
      <c r="D504" s="59"/>
      <c r="E504" s="60"/>
      <c r="F504" s="61"/>
      <c r="G504" s="62"/>
      <c r="H504"/>
      <c r="I504" s="78"/>
      <c r="J504" s="91"/>
      <c r="L504" s="75"/>
      <c r="M504" s="67"/>
      <c r="N504" s="77"/>
    </row>
    <row r="505" spans="2:14" x14ac:dyDescent="0.35">
      <c r="B505" s="58"/>
      <c r="C505" s="59"/>
      <c r="D505" s="59"/>
      <c r="E505" s="60"/>
      <c r="F505" s="61"/>
      <c r="G505" s="62"/>
      <c r="H505"/>
      <c r="I505" s="78"/>
      <c r="J505" s="91"/>
      <c r="L505" s="66"/>
      <c r="M505" s="67"/>
      <c r="N505" s="77"/>
    </row>
    <row r="506" spans="2:14" x14ac:dyDescent="0.35">
      <c r="B506" s="58"/>
      <c r="C506" s="59"/>
      <c r="D506" s="59"/>
      <c r="E506" s="60"/>
      <c r="F506" s="61"/>
      <c r="G506" s="62"/>
      <c r="H506"/>
      <c r="I506" s="78"/>
      <c r="J506" s="91"/>
      <c r="L506" s="66"/>
      <c r="M506" s="67"/>
      <c r="N506" s="77"/>
    </row>
    <row r="507" spans="2:14" x14ac:dyDescent="0.35">
      <c r="B507" s="58"/>
      <c r="C507" s="59"/>
      <c r="D507" s="59"/>
      <c r="E507" s="60"/>
      <c r="F507" s="61"/>
      <c r="G507" s="62"/>
      <c r="H507"/>
      <c r="I507" s="78"/>
      <c r="J507" s="91"/>
      <c r="L507" s="75"/>
      <c r="M507" s="67"/>
      <c r="N507" s="77"/>
    </row>
    <row r="508" spans="2:14" x14ac:dyDescent="0.35">
      <c r="B508" s="58"/>
      <c r="C508" s="59"/>
      <c r="D508" s="59"/>
      <c r="E508" s="60"/>
      <c r="F508" s="61"/>
      <c r="G508" s="62"/>
      <c r="H508"/>
      <c r="I508" s="78"/>
      <c r="J508" s="91"/>
      <c r="L508" s="75"/>
      <c r="M508" s="67"/>
      <c r="N508" s="77"/>
    </row>
    <row r="509" spans="2:14" x14ac:dyDescent="0.35">
      <c r="B509" s="58"/>
      <c r="C509" s="59"/>
      <c r="D509" s="59"/>
      <c r="E509" s="60"/>
      <c r="F509" s="61"/>
      <c r="G509" s="62"/>
      <c r="H509"/>
      <c r="I509" s="78"/>
      <c r="J509" s="91"/>
      <c r="L509" s="75"/>
      <c r="M509" s="67"/>
      <c r="N509" s="77"/>
    </row>
    <row r="510" spans="2:14" x14ac:dyDescent="0.35">
      <c r="B510" s="58"/>
      <c r="C510" s="59"/>
      <c r="D510" s="59"/>
      <c r="E510" s="60"/>
      <c r="F510" s="61"/>
      <c r="G510" s="62"/>
      <c r="H510"/>
      <c r="I510" s="78"/>
      <c r="J510" s="91"/>
      <c r="L510" s="75"/>
      <c r="M510" s="67"/>
      <c r="N510" s="77"/>
    </row>
    <row r="511" spans="2:14" x14ac:dyDescent="0.35">
      <c r="B511" s="58"/>
      <c r="C511" s="59"/>
      <c r="D511" s="59"/>
      <c r="E511" s="60"/>
      <c r="F511" s="61"/>
      <c r="G511" s="62"/>
      <c r="H511"/>
      <c r="I511" s="78"/>
      <c r="J511" s="91"/>
      <c r="L511" s="75"/>
      <c r="M511" s="67"/>
      <c r="N511" s="77"/>
    </row>
    <row r="512" spans="2:14" x14ac:dyDescent="0.35">
      <c r="B512" s="58"/>
      <c r="C512" s="59"/>
      <c r="D512" s="59"/>
      <c r="E512" s="60"/>
      <c r="F512" s="61"/>
      <c r="G512" s="62"/>
      <c r="H512"/>
      <c r="I512" s="78"/>
      <c r="J512" s="91"/>
      <c r="L512" s="75"/>
      <c r="M512" s="67"/>
      <c r="N512" s="77"/>
    </row>
    <row r="513" spans="2:14" x14ac:dyDescent="0.35">
      <c r="B513" s="58"/>
      <c r="C513" s="59"/>
      <c r="D513" s="59"/>
      <c r="E513" s="60"/>
      <c r="F513" s="61"/>
      <c r="G513" s="62"/>
      <c r="H513"/>
      <c r="I513" s="78"/>
      <c r="J513" s="91"/>
      <c r="L513" s="75"/>
      <c r="M513" s="67"/>
      <c r="N513" s="77"/>
    </row>
    <row r="514" spans="2:14" x14ac:dyDescent="0.35">
      <c r="B514" s="58"/>
      <c r="C514" s="59"/>
      <c r="D514" s="59"/>
      <c r="E514" s="60"/>
      <c r="F514" s="61"/>
      <c r="G514" s="62"/>
      <c r="H514"/>
      <c r="I514" s="78"/>
      <c r="J514" s="91"/>
      <c r="L514" s="75"/>
      <c r="M514" s="67"/>
      <c r="N514" s="77"/>
    </row>
    <row r="515" spans="2:14" x14ac:dyDescent="0.35">
      <c r="B515" s="58"/>
      <c r="C515" s="59"/>
      <c r="D515" s="59"/>
      <c r="E515" s="60"/>
      <c r="F515" s="61"/>
      <c r="G515" s="62"/>
      <c r="H515"/>
      <c r="I515" s="78"/>
      <c r="J515" s="91"/>
      <c r="L515" s="75"/>
      <c r="M515" s="67"/>
      <c r="N515" s="77"/>
    </row>
    <row r="516" spans="2:14" x14ac:dyDescent="0.35">
      <c r="B516" s="58"/>
      <c r="C516" s="59"/>
      <c r="D516" s="59"/>
      <c r="E516" s="60"/>
      <c r="F516" s="61"/>
      <c r="G516" s="62"/>
      <c r="H516"/>
      <c r="I516" s="78"/>
      <c r="J516" s="91"/>
      <c r="L516" s="75"/>
      <c r="M516" s="67"/>
      <c r="N516" s="77"/>
    </row>
    <row r="517" spans="2:14" x14ac:dyDescent="0.35">
      <c r="B517" s="58"/>
      <c r="C517" s="59"/>
      <c r="D517" s="59"/>
      <c r="E517" s="60"/>
      <c r="F517" s="61"/>
      <c r="G517" s="62"/>
      <c r="H517"/>
      <c r="I517" s="78"/>
      <c r="J517" s="91"/>
      <c r="L517" s="75"/>
      <c r="M517" s="67"/>
      <c r="N517" s="77"/>
    </row>
    <row r="518" spans="2:14" x14ac:dyDescent="0.35">
      <c r="B518" s="58"/>
      <c r="C518" s="59"/>
      <c r="D518" s="59"/>
      <c r="E518" s="60"/>
      <c r="F518" s="61"/>
      <c r="G518" s="62"/>
      <c r="H518"/>
      <c r="I518" s="78"/>
      <c r="J518" s="91"/>
      <c r="L518" s="75"/>
      <c r="M518" s="67"/>
      <c r="N518" s="77"/>
    </row>
    <row r="519" spans="2:14" x14ac:dyDescent="0.35">
      <c r="B519" s="58"/>
      <c r="C519" s="59"/>
      <c r="D519" s="59"/>
      <c r="E519" s="60"/>
      <c r="F519" s="61"/>
      <c r="G519" s="62"/>
      <c r="H519"/>
      <c r="I519" s="78"/>
      <c r="J519" s="91"/>
      <c r="L519" s="75"/>
      <c r="M519" s="67"/>
      <c r="N519" s="77"/>
    </row>
    <row r="520" spans="2:14" x14ac:dyDescent="0.35">
      <c r="B520" s="58"/>
      <c r="C520" s="59"/>
      <c r="D520" s="59"/>
      <c r="E520" s="60"/>
      <c r="F520" s="61"/>
      <c r="G520" s="62"/>
      <c r="H520"/>
      <c r="I520" s="78"/>
      <c r="J520" s="91"/>
      <c r="L520" s="75"/>
      <c r="M520" s="67"/>
      <c r="N520" s="77"/>
    </row>
    <row r="521" spans="2:14" x14ac:dyDescent="0.35">
      <c r="B521" s="58"/>
      <c r="C521" s="59"/>
      <c r="D521" s="59"/>
      <c r="E521" s="60"/>
      <c r="F521" s="61"/>
      <c r="G521" s="62"/>
      <c r="H521"/>
      <c r="I521" s="78"/>
      <c r="J521" s="91"/>
      <c r="L521" s="75"/>
      <c r="M521" s="67"/>
      <c r="N521" s="77"/>
    </row>
    <row r="522" spans="2:14" x14ac:dyDescent="0.35">
      <c r="B522" s="58"/>
      <c r="C522" s="59"/>
      <c r="D522" s="59"/>
      <c r="E522" s="60"/>
      <c r="F522" s="61"/>
      <c r="G522" s="62"/>
      <c r="H522"/>
      <c r="I522" s="78"/>
      <c r="J522" s="91"/>
      <c r="L522" s="75"/>
      <c r="M522" s="67"/>
      <c r="N522" s="77"/>
    </row>
    <row r="523" spans="2:14" x14ac:dyDescent="0.35">
      <c r="B523" s="58"/>
      <c r="C523" s="59"/>
      <c r="D523" s="59"/>
      <c r="E523" s="60"/>
      <c r="F523" s="61"/>
      <c r="G523" s="62"/>
      <c r="H523"/>
      <c r="I523" s="78"/>
      <c r="J523" s="91"/>
      <c r="L523" s="75"/>
      <c r="M523" s="67"/>
      <c r="N523" s="77"/>
    </row>
    <row r="524" spans="2:14" x14ac:dyDescent="0.35">
      <c r="B524" s="58"/>
      <c r="C524" s="59"/>
      <c r="D524" s="59"/>
      <c r="E524" s="60"/>
      <c r="F524" s="61"/>
      <c r="G524" s="62"/>
      <c r="H524"/>
      <c r="I524" s="78"/>
      <c r="J524" s="91"/>
      <c r="L524" s="75"/>
      <c r="M524" s="67"/>
      <c r="N524" s="77"/>
    </row>
    <row r="525" spans="2:14" x14ac:dyDescent="0.35">
      <c r="B525" s="58"/>
      <c r="C525" s="59"/>
      <c r="D525" s="59"/>
      <c r="E525" s="60"/>
      <c r="F525" s="61"/>
      <c r="G525" s="62"/>
      <c r="H525"/>
      <c r="I525" s="78"/>
      <c r="J525" s="91"/>
      <c r="L525" s="75"/>
      <c r="M525" s="67"/>
    </row>
    <row r="526" spans="2:14" x14ac:dyDescent="0.35">
      <c r="B526" s="58"/>
      <c r="C526" s="59"/>
      <c r="D526" s="59"/>
      <c r="E526" s="60"/>
      <c r="F526" s="61"/>
      <c r="G526" s="62"/>
      <c r="H526"/>
      <c r="I526" s="78"/>
      <c r="J526" s="91"/>
      <c r="L526" s="75"/>
      <c r="M526" s="67"/>
    </row>
    <row r="527" spans="2:14" x14ac:dyDescent="0.35">
      <c r="B527" s="58"/>
      <c r="C527" s="59"/>
      <c r="D527" s="59"/>
      <c r="E527" s="60"/>
      <c r="F527" s="61"/>
      <c r="G527" s="62"/>
      <c r="H527"/>
      <c r="I527" s="78"/>
      <c r="J527" s="91"/>
      <c r="L527" s="75"/>
      <c r="M527" s="67"/>
    </row>
    <row r="528" spans="2:14" x14ac:dyDescent="0.35">
      <c r="B528" s="58"/>
      <c r="C528" s="59"/>
      <c r="D528" s="59"/>
      <c r="E528" s="60"/>
      <c r="F528" s="61"/>
      <c r="G528" s="62"/>
      <c r="H528"/>
      <c r="I528" s="78"/>
      <c r="J528" s="91"/>
      <c r="L528" s="75"/>
      <c r="M528" s="67"/>
      <c r="N528" s="87"/>
    </row>
    <row r="529" spans="2:13" x14ac:dyDescent="0.35">
      <c r="B529" s="58"/>
      <c r="C529" s="59"/>
      <c r="D529" s="59"/>
      <c r="E529" s="60"/>
      <c r="F529" s="61"/>
      <c r="G529" s="62"/>
      <c r="H529"/>
      <c r="I529" s="78"/>
      <c r="J529" s="91"/>
      <c r="L529" s="75"/>
      <c r="M529" s="67"/>
    </row>
    <row r="530" spans="2:13" x14ac:dyDescent="0.35">
      <c r="B530" s="58"/>
      <c r="C530" s="59"/>
      <c r="D530" s="59"/>
      <c r="E530" s="60"/>
      <c r="F530" s="61"/>
      <c r="G530" s="62"/>
      <c r="H530"/>
      <c r="I530" s="78"/>
      <c r="J530" s="91"/>
      <c r="L530" s="75"/>
      <c r="M530" s="67"/>
    </row>
    <row r="531" spans="2:13" x14ac:dyDescent="0.35">
      <c r="B531" s="58"/>
      <c r="C531" s="59"/>
      <c r="D531" s="59"/>
      <c r="E531" s="60"/>
      <c r="F531" s="61"/>
      <c r="G531" s="62"/>
      <c r="H531"/>
      <c r="I531" s="78"/>
      <c r="J531" s="91"/>
      <c r="L531" s="75"/>
      <c r="M531" s="67"/>
    </row>
    <row r="532" spans="2:13" x14ac:dyDescent="0.35">
      <c r="B532" s="58"/>
      <c r="C532" s="59"/>
      <c r="D532" s="59"/>
      <c r="E532" s="60"/>
      <c r="F532" s="61"/>
      <c r="G532" s="62"/>
      <c r="H532"/>
      <c r="I532" s="78"/>
      <c r="J532" s="91"/>
      <c r="L532" s="75"/>
      <c r="M532" s="67"/>
    </row>
    <row r="533" spans="2:13" x14ac:dyDescent="0.35">
      <c r="B533" s="58"/>
      <c r="C533" s="59"/>
      <c r="D533" s="59"/>
      <c r="E533" s="60"/>
      <c r="F533" s="61"/>
      <c r="G533" s="62"/>
      <c r="H533"/>
      <c r="I533" s="78"/>
      <c r="J533" s="91"/>
      <c r="L533" s="66"/>
      <c r="M533" s="67"/>
    </row>
    <row r="534" spans="2:13" x14ac:dyDescent="0.35">
      <c r="B534" s="58"/>
      <c r="C534" s="59"/>
      <c r="D534" s="59"/>
      <c r="E534" s="60"/>
      <c r="F534" s="61"/>
      <c r="G534" s="62"/>
      <c r="H534"/>
      <c r="I534" s="78"/>
      <c r="J534" s="91"/>
      <c r="L534" s="66"/>
      <c r="M534" s="67"/>
    </row>
    <row r="535" spans="2:13" x14ac:dyDescent="0.35">
      <c r="B535" s="58"/>
      <c r="C535" s="59"/>
      <c r="D535" s="59"/>
      <c r="E535" s="60"/>
      <c r="F535" s="61"/>
      <c r="G535" s="62"/>
      <c r="H535"/>
      <c r="I535" s="78"/>
      <c r="J535" s="91"/>
      <c r="L535" s="75"/>
      <c r="M535" s="67"/>
    </row>
    <row r="536" spans="2:13" x14ac:dyDescent="0.35">
      <c r="B536" s="58"/>
      <c r="C536" s="59"/>
      <c r="D536" s="59"/>
      <c r="E536" s="60"/>
      <c r="F536" s="61"/>
      <c r="G536" s="62"/>
      <c r="H536"/>
      <c r="I536" s="78"/>
      <c r="J536" s="91"/>
      <c r="L536" s="75"/>
      <c r="M536" s="67"/>
    </row>
    <row r="537" spans="2:13" x14ac:dyDescent="0.35">
      <c r="B537" s="58"/>
      <c r="C537" s="59"/>
      <c r="D537" s="59"/>
      <c r="E537" s="60"/>
      <c r="F537" s="61"/>
      <c r="G537" s="62"/>
      <c r="H537"/>
      <c r="I537" s="78"/>
      <c r="J537" s="91"/>
      <c r="L537" s="75"/>
      <c r="M537" s="67"/>
    </row>
    <row r="538" spans="2:13" x14ac:dyDescent="0.35">
      <c r="B538" s="58"/>
      <c r="C538" s="59"/>
      <c r="D538" s="59"/>
      <c r="E538" s="60"/>
      <c r="F538" s="61"/>
      <c r="G538" s="62"/>
      <c r="H538"/>
      <c r="I538" s="78"/>
      <c r="J538" s="91"/>
      <c r="L538" s="75"/>
      <c r="M538" s="67"/>
    </row>
    <row r="539" spans="2:13" x14ac:dyDescent="0.35">
      <c r="B539" s="58"/>
      <c r="C539" s="59"/>
      <c r="D539" s="59"/>
      <c r="E539" s="60"/>
      <c r="F539" s="61"/>
      <c r="G539" s="62"/>
      <c r="H539"/>
      <c r="I539" s="78"/>
      <c r="J539" s="91"/>
      <c r="L539" s="75"/>
      <c r="M539" s="67"/>
    </row>
    <row r="540" spans="2:13" x14ac:dyDescent="0.35">
      <c r="B540" s="58"/>
      <c r="C540" s="59"/>
      <c r="D540" s="59"/>
      <c r="E540" s="60"/>
      <c r="F540" s="61"/>
      <c r="G540" s="62"/>
      <c r="H540"/>
      <c r="I540" s="78"/>
      <c r="J540" s="91"/>
      <c r="L540" s="75"/>
      <c r="M540" s="67"/>
    </row>
    <row r="541" spans="2:13" x14ac:dyDescent="0.35">
      <c r="B541" s="58"/>
      <c r="C541" s="59"/>
      <c r="D541" s="59"/>
      <c r="E541" s="60"/>
      <c r="F541" s="61"/>
      <c r="G541" s="62"/>
      <c r="H541"/>
      <c r="I541" s="78"/>
      <c r="J541" s="91"/>
      <c r="L541" s="75"/>
      <c r="M541" s="67"/>
    </row>
    <row r="542" spans="2:13" x14ac:dyDescent="0.35">
      <c r="B542" s="58"/>
      <c r="C542" s="59"/>
      <c r="D542" s="59"/>
      <c r="E542" s="60"/>
      <c r="F542" s="61"/>
      <c r="G542" s="62"/>
      <c r="H542"/>
      <c r="I542" s="78"/>
      <c r="J542" s="91"/>
      <c r="L542" s="75"/>
      <c r="M542" s="67"/>
    </row>
    <row r="543" spans="2:13" x14ac:dyDescent="0.35">
      <c r="B543" s="58"/>
      <c r="C543" s="59"/>
      <c r="D543" s="59"/>
      <c r="E543" s="60"/>
      <c r="F543" s="61"/>
      <c r="G543" s="62"/>
      <c r="H543"/>
      <c r="I543" s="78"/>
      <c r="J543" s="91"/>
      <c r="L543" s="75"/>
      <c r="M543" s="67"/>
    </row>
    <row r="544" spans="2:13" x14ac:dyDescent="0.35">
      <c r="B544" s="58"/>
      <c r="C544" s="59"/>
      <c r="D544" s="59"/>
      <c r="E544" s="60"/>
      <c r="F544" s="61"/>
      <c r="G544" s="62"/>
      <c r="H544"/>
      <c r="I544" s="78"/>
      <c r="J544" s="91"/>
      <c r="L544" s="75"/>
      <c r="M544" s="67"/>
    </row>
    <row r="545" spans="2:13" x14ac:dyDescent="0.35">
      <c r="B545" s="58"/>
      <c r="C545" s="59"/>
      <c r="D545" s="59"/>
      <c r="E545" s="60"/>
      <c r="F545" s="61"/>
      <c r="G545" s="62"/>
      <c r="H545"/>
      <c r="I545" s="78"/>
      <c r="J545" s="91"/>
      <c r="L545" s="75"/>
      <c r="M545" s="67"/>
    </row>
    <row r="546" spans="2:13" x14ac:dyDescent="0.35">
      <c r="B546" s="58"/>
      <c r="C546" s="59"/>
      <c r="D546" s="59"/>
      <c r="E546" s="60"/>
      <c r="F546" s="61"/>
      <c r="G546" s="62"/>
      <c r="H546"/>
      <c r="I546" s="78"/>
      <c r="J546" s="91"/>
      <c r="L546" s="75"/>
      <c r="M546" s="67"/>
    </row>
    <row r="547" spans="2:13" x14ac:dyDescent="0.35">
      <c r="B547" s="58"/>
      <c r="C547" s="59"/>
      <c r="D547" s="59"/>
      <c r="E547" s="60"/>
      <c r="F547" s="61"/>
      <c r="G547" s="62"/>
      <c r="H547"/>
      <c r="I547" s="78"/>
      <c r="J547" s="91"/>
      <c r="L547" s="75"/>
      <c r="M547" s="67"/>
    </row>
    <row r="548" spans="2:13" x14ac:dyDescent="0.35">
      <c r="B548" s="58"/>
      <c r="C548" s="59"/>
      <c r="D548" s="59"/>
      <c r="E548" s="60"/>
      <c r="F548" s="61"/>
      <c r="G548" s="62"/>
      <c r="H548"/>
      <c r="I548" s="78"/>
      <c r="J548" s="91"/>
      <c r="L548" s="75"/>
      <c r="M548" s="67"/>
    </row>
    <row r="549" spans="2:13" x14ac:dyDescent="0.35">
      <c r="B549" s="58"/>
      <c r="C549" s="59"/>
      <c r="D549" s="59"/>
      <c r="E549" s="60"/>
      <c r="F549" s="61"/>
      <c r="G549" s="62"/>
      <c r="H549"/>
      <c r="I549" s="78"/>
      <c r="J549" s="91"/>
      <c r="L549" s="75"/>
      <c r="M549" s="67"/>
    </row>
    <row r="550" spans="2:13" x14ac:dyDescent="0.35">
      <c r="B550" s="58"/>
      <c r="C550" s="59"/>
      <c r="D550" s="59"/>
      <c r="E550" s="60"/>
      <c r="F550" s="61"/>
      <c r="G550" s="62"/>
      <c r="H550"/>
      <c r="I550" s="78"/>
      <c r="J550" s="91"/>
      <c r="L550" s="75"/>
      <c r="M550" s="67"/>
    </row>
    <row r="551" spans="2:13" x14ac:dyDescent="0.35">
      <c r="B551" s="58"/>
      <c r="C551" s="59"/>
      <c r="D551" s="59"/>
      <c r="E551" s="60"/>
      <c r="F551" s="61"/>
      <c r="G551" s="62"/>
      <c r="H551"/>
      <c r="I551" s="78"/>
      <c r="J551" s="91"/>
      <c r="L551" s="75"/>
      <c r="M551" s="67"/>
    </row>
    <row r="552" spans="2:13" x14ac:dyDescent="0.35">
      <c r="B552" s="58"/>
      <c r="C552" s="59"/>
      <c r="D552" s="59"/>
      <c r="E552" s="60"/>
      <c r="F552" s="61"/>
      <c r="G552" s="62"/>
      <c r="H552"/>
      <c r="I552" s="78"/>
      <c r="J552" s="91"/>
      <c r="L552" s="75"/>
      <c r="M552" s="67"/>
    </row>
    <row r="553" spans="2:13" x14ac:dyDescent="0.35">
      <c r="B553" s="58"/>
      <c r="C553" s="59"/>
      <c r="D553" s="59"/>
      <c r="E553" s="60"/>
      <c r="F553" s="61"/>
      <c r="G553" s="62"/>
      <c r="H553"/>
      <c r="I553" s="78"/>
      <c r="J553" s="91"/>
      <c r="L553" s="75"/>
      <c r="M553" s="67"/>
    </row>
    <row r="554" spans="2:13" x14ac:dyDescent="0.35">
      <c r="B554" s="58"/>
      <c r="C554" s="59"/>
      <c r="D554" s="59"/>
      <c r="E554" s="60"/>
      <c r="F554" s="61"/>
      <c r="G554" s="62"/>
      <c r="H554"/>
      <c r="I554" s="78"/>
      <c r="J554" s="91"/>
      <c r="L554" s="75"/>
      <c r="M554" s="67"/>
    </row>
    <row r="555" spans="2:13" x14ac:dyDescent="0.35">
      <c r="B555" s="58"/>
      <c r="C555" s="59"/>
      <c r="D555" s="59"/>
      <c r="E555" s="60"/>
      <c r="F555" s="61"/>
      <c r="G555" s="62"/>
      <c r="H555"/>
      <c r="I555" s="78"/>
      <c r="J555" s="91"/>
      <c r="L555" s="75"/>
      <c r="M555" s="67"/>
    </row>
    <row r="556" spans="2:13" x14ac:dyDescent="0.35">
      <c r="B556" s="58"/>
      <c r="C556" s="59"/>
      <c r="D556" s="59"/>
      <c r="E556" s="60"/>
      <c r="F556" s="61"/>
      <c r="G556" s="62"/>
      <c r="H556"/>
      <c r="I556" s="78"/>
      <c r="J556" s="91"/>
      <c r="L556" s="75"/>
      <c r="M556" s="67"/>
    </row>
    <row r="557" spans="2:13" x14ac:dyDescent="0.35">
      <c r="B557" s="58"/>
      <c r="C557" s="59"/>
      <c r="D557" s="59"/>
      <c r="E557" s="60"/>
      <c r="F557" s="61"/>
      <c r="G557" s="62"/>
      <c r="H557"/>
      <c r="I557" s="78"/>
      <c r="J557" s="76"/>
      <c r="L557" s="75"/>
      <c r="M557" s="67"/>
    </row>
    <row r="558" spans="2:13" x14ac:dyDescent="0.35">
      <c r="B558" s="58"/>
      <c r="C558" s="59"/>
      <c r="D558" s="59"/>
      <c r="E558" s="60"/>
      <c r="F558" s="61"/>
      <c r="G558" s="62"/>
      <c r="H558"/>
      <c r="I558" s="78"/>
      <c r="J558" s="76"/>
      <c r="L558" s="75"/>
      <c r="M558" s="67"/>
    </row>
    <row r="559" spans="2:13" x14ac:dyDescent="0.35">
      <c r="B559" s="58"/>
      <c r="C559" s="59"/>
      <c r="D559" s="59"/>
      <c r="E559" s="60"/>
      <c r="F559" s="61"/>
      <c r="G559" s="62"/>
      <c r="H559"/>
      <c r="I559" s="78"/>
      <c r="J559" s="76"/>
      <c r="L559" s="75"/>
      <c r="M559" s="67"/>
    </row>
    <row r="560" spans="2:13" x14ac:dyDescent="0.35">
      <c r="B560" s="58"/>
      <c r="C560" s="59"/>
      <c r="D560" s="59"/>
      <c r="E560" s="60"/>
      <c r="F560" s="61"/>
      <c r="G560" s="62"/>
      <c r="H560"/>
      <c r="I560" s="78"/>
      <c r="J560" s="91"/>
      <c r="L560" s="75"/>
      <c r="M560" s="67"/>
    </row>
    <row r="561" spans="2:13" x14ac:dyDescent="0.35">
      <c r="B561" s="58"/>
      <c r="C561" s="59"/>
      <c r="D561" s="59"/>
      <c r="E561" s="60"/>
      <c r="F561" s="61"/>
      <c r="G561" s="62"/>
      <c r="H561"/>
      <c r="I561" s="78"/>
      <c r="J561" s="91"/>
      <c r="K561" s="65"/>
      <c r="L561" s="66"/>
      <c r="M561" s="67"/>
    </row>
    <row r="562" spans="2:13" x14ac:dyDescent="0.35">
      <c r="B562" s="58"/>
      <c r="C562" s="59"/>
      <c r="D562" s="59"/>
      <c r="E562" s="60"/>
      <c r="F562" s="61"/>
      <c r="G562" s="62"/>
      <c r="H562"/>
      <c r="I562" s="78"/>
      <c r="J562" s="91"/>
      <c r="K562" s="65"/>
      <c r="L562" s="97"/>
      <c r="M562" s="67"/>
    </row>
    <row r="563" spans="2:13" x14ac:dyDescent="0.35">
      <c r="B563" s="58"/>
      <c r="C563" s="59"/>
      <c r="D563" s="59"/>
      <c r="E563" s="60"/>
      <c r="F563" s="61"/>
      <c r="G563" s="62"/>
      <c r="H563"/>
      <c r="I563" s="78"/>
      <c r="J563" s="91"/>
      <c r="K563" s="65"/>
      <c r="L563" s="97"/>
      <c r="M563" s="67"/>
    </row>
    <row r="564" spans="2:13" x14ac:dyDescent="0.35">
      <c r="B564" s="58"/>
      <c r="C564" s="59"/>
      <c r="D564" s="59"/>
      <c r="E564" s="60"/>
      <c r="F564" s="61"/>
      <c r="G564" s="62"/>
      <c r="H564"/>
      <c r="I564" s="78"/>
      <c r="J564" s="91"/>
      <c r="L564" s="75"/>
      <c r="M564" s="67"/>
    </row>
    <row r="565" spans="2:13" x14ac:dyDescent="0.35">
      <c r="B565" s="58"/>
      <c r="C565" s="59"/>
      <c r="D565" s="59"/>
      <c r="E565" s="60"/>
      <c r="F565" s="61"/>
      <c r="G565" s="62"/>
      <c r="H565"/>
      <c r="I565" s="78"/>
      <c r="J565" s="91"/>
      <c r="L565" s="75"/>
      <c r="M565" s="67"/>
    </row>
    <row r="566" spans="2:13" x14ac:dyDescent="0.35">
      <c r="B566" s="58"/>
      <c r="C566" s="59"/>
      <c r="D566" s="59"/>
      <c r="E566" s="60"/>
      <c r="F566" s="61"/>
      <c r="G566" s="62"/>
      <c r="H566"/>
      <c r="I566" s="78"/>
      <c r="J566" s="91"/>
      <c r="K566" s="65"/>
      <c r="L566" s="98"/>
      <c r="M566" s="67"/>
    </row>
    <row r="567" spans="2:13" x14ac:dyDescent="0.35">
      <c r="B567" s="58"/>
      <c r="C567" s="59"/>
      <c r="D567" s="59"/>
      <c r="E567" s="60"/>
      <c r="F567" s="61"/>
      <c r="G567" s="62"/>
      <c r="H567"/>
      <c r="I567" s="78"/>
      <c r="J567" s="91"/>
      <c r="K567" s="65"/>
      <c r="L567" s="98"/>
      <c r="M567" s="67"/>
    </row>
    <row r="568" spans="2:13" x14ac:dyDescent="0.35">
      <c r="B568" s="58"/>
      <c r="C568" s="59"/>
      <c r="D568" s="59"/>
      <c r="E568" s="60"/>
      <c r="F568" s="61"/>
      <c r="G568" s="62"/>
      <c r="H568"/>
      <c r="I568" s="78"/>
      <c r="J568" s="91"/>
      <c r="K568" s="65"/>
      <c r="L568" s="98"/>
      <c r="M568" s="67"/>
    </row>
    <row r="569" spans="2:13" x14ac:dyDescent="0.35">
      <c r="B569" s="58"/>
      <c r="C569" s="59"/>
      <c r="D569" s="59"/>
      <c r="E569" s="60"/>
      <c r="F569" s="61"/>
      <c r="G569" s="62"/>
      <c r="H569"/>
      <c r="I569" s="78"/>
      <c r="J569" s="91"/>
      <c r="K569" s="65"/>
      <c r="L569" s="98"/>
      <c r="M569" s="67"/>
    </row>
    <row r="570" spans="2:13" x14ac:dyDescent="0.35">
      <c r="B570" s="58"/>
      <c r="C570" s="59"/>
      <c r="D570" s="59"/>
      <c r="E570" s="60"/>
      <c r="F570" s="61"/>
      <c r="G570" s="62"/>
      <c r="H570"/>
      <c r="I570" s="78"/>
      <c r="J570" s="91"/>
      <c r="K570" s="65"/>
      <c r="L570" s="98"/>
      <c r="M570" s="67"/>
    </row>
    <row r="571" spans="2:13" x14ac:dyDescent="0.35">
      <c r="B571" s="58"/>
      <c r="C571" s="59"/>
      <c r="D571" s="59"/>
      <c r="E571" s="60"/>
      <c r="F571" s="61"/>
      <c r="G571" s="62"/>
      <c r="H571"/>
      <c r="I571" s="78"/>
      <c r="J571" s="91"/>
      <c r="L571" s="98"/>
      <c r="M571" s="67"/>
    </row>
    <row r="572" spans="2:13" x14ac:dyDescent="0.35">
      <c r="B572" s="58"/>
      <c r="C572" s="59"/>
      <c r="D572" s="59"/>
      <c r="E572" s="60"/>
      <c r="F572" s="61"/>
      <c r="G572" s="62"/>
      <c r="H572"/>
      <c r="I572" s="78"/>
      <c r="J572" s="91"/>
      <c r="L572" s="98"/>
      <c r="M572" s="67"/>
    </row>
    <row r="573" spans="2:13" x14ac:dyDescent="0.35">
      <c r="B573" s="58"/>
      <c r="C573" s="59"/>
      <c r="D573" s="59"/>
      <c r="E573" s="60"/>
      <c r="F573" s="61"/>
      <c r="G573" s="62"/>
      <c r="H573"/>
      <c r="I573" s="78"/>
      <c r="J573" s="91"/>
      <c r="L573" s="98"/>
      <c r="M573" s="67"/>
    </row>
    <row r="574" spans="2:13" x14ac:dyDescent="0.35">
      <c r="B574" s="58"/>
      <c r="C574" s="59"/>
      <c r="D574" s="59"/>
      <c r="E574" s="60"/>
      <c r="F574" s="61"/>
      <c r="G574" s="62"/>
      <c r="H574"/>
      <c r="I574" s="78"/>
      <c r="J574" s="91"/>
      <c r="L574" s="99"/>
      <c r="M574" s="67"/>
    </row>
    <row r="575" spans="2:13" x14ac:dyDescent="0.35">
      <c r="B575" s="58"/>
      <c r="C575" s="59"/>
      <c r="D575" s="59"/>
      <c r="E575" s="60"/>
      <c r="F575" s="61"/>
      <c r="G575" s="62"/>
      <c r="H575"/>
      <c r="I575" s="78"/>
      <c r="J575" s="91"/>
      <c r="K575" s="65"/>
      <c r="L575" s="98"/>
      <c r="M575" s="67"/>
    </row>
    <row r="576" spans="2:13" x14ac:dyDescent="0.35">
      <c r="B576" s="58"/>
      <c r="C576" s="59"/>
      <c r="D576" s="59"/>
      <c r="E576" s="60"/>
      <c r="F576" s="61"/>
      <c r="G576" s="62"/>
      <c r="H576"/>
      <c r="I576" s="78"/>
      <c r="J576" s="91"/>
      <c r="K576" s="65"/>
      <c r="L576" s="98"/>
      <c r="M576" s="67"/>
    </row>
    <row r="577" spans="2:13" x14ac:dyDescent="0.35">
      <c r="B577" s="58"/>
      <c r="C577" s="59"/>
      <c r="D577" s="59"/>
      <c r="E577" s="60"/>
      <c r="F577" s="61"/>
      <c r="G577" s="62"/>
      <c r="H577"/>
      <c r="I577" s="78"/>
      <c r="J577" s="91"/>
      <c r="K577" s="65"/>
      <c r="L577" s="98"/>
      <c r="M577" s="67"/>
    </row>
    <row r="578" spans="2:13" x14ac:dyDescent="0.35">
      <c r="B578" s="58"/>
      <c r="C578" s="59"/>
      <c r="D578" s="59"/>
      <c r="E578" s="60"/>
      <c r="F578" s="61"/>
      <c r="G578" s="62"/>
      <c r="H578"/>
      <c r="I578" s="78"/>
      <c r="J578" s="91"/>
      <c r="K578" s="65"/>
      <c r="L578" s="98"/>
      <c r="M578" s="67"/>
    </row>
    <row r="579" spans="2:13" x14ac:dyDescent="0.35">
      <c r="B579" s="58"/>
      <c r="C579" s="59"/>
      <c r="D579" s="59"/>
      <c r="E579" s="60"/>
      <c r="F579" s="61"/>
      <c r="G579" s="62"/>
      <c r="H579"/>
      <c r="I579" s="78"/>
      <c r="J579" s="91"/>
      <c r="K579" s="65"/>
      <c r="L579" s="98"/>
      <c r="M579" s="67"/>
    </row>
    <row r="580" spans="2:13" ht="16.5" customHeight="1" x14ac:dyDescent="0.35">
      <c r="B580" s="58"/>
      <c r="C580" s="59"/>
      <c r="D580" s="59"/>
      <c r="E580" s="60"/>
      <c r="F580" s="61"/>
      <c r="G580" s="62"/>
      <c r="H580"/>
      <c r="I580" s="78"/>
      <c r="J580" s="91"/>
      <c r="L580" s="99"/>
      <c r="M580" s="67"/>
    </row>
    <row r="581" spans="2:13" x14ac:dyDescent="0.35">
      <c r="B581" s="58"/>
      <c r="C581" s="59"/>
      <c r="D581" s="59"/>
      <c r="E581" s="60"/>
      <c r="F581" s="61"/>
      <c r="G581" s="62"/>
      <c r="H581"/>
      <c r="I581" s="78"/>
      <c r="J581" s="76"/>
      <c r="L581" s="99"/>
      <c r="M581" s="67"/>
    </row>
    <row r="582" spans="2:13" x14ac:dyDescent="0.35">
      <c r="B582" s="58"/>
      <c r="C582" s="59"/>
      <c r="D582" s="59"/>
      <c r="E582" s="60"/>
      <c r="F582" s="61"/>
      <c r="G582" s="62"/>
      <c r="H582"/>
      <c r="I582" s="78"/>
      <c r="J582" s="91"/>
      <c r="L582" s="99"/>
      <c r="M582" s="67"/>
    </row>
    <row r="583" spans="2:13" x14ac:dyDescent="0.35">
      <c r="B583" s="58"/>
      <c r="C583" s="59"/>
      <c r="D583" s="59"/>
      <c r="E583" s="60"/>
      <c r="F583" s="61"/>
      <c r="G583" s="62"/>
      <c r="H583"/>
      <c r="I583" s="78"/>
      <c r="J583" s="91"/>
      <c r="K583" s="65"/>
      <c r="L583" s="99"/>
      <c r="M583" s="67"/>
    </row>
    <row r="584" spans="2:13" x14ac:dyDescent="0.35">
      <c r="B584" s="58"/>
      <c r="C584" s="59"/>
      <c r="D584" s="59"/>
      <c r="E584" s="60"/>
      <c r="F584" s="61"/>
      <c r="G584" s="62"/>
      <c r="H584"/>
      <c r="I584" s="78"/>
      <c r="J584" s="91"/>
      <c r="K584" s="65"/>
      <c r="L584" s="99"/>
      <c r="M584" s="67"/>
    </row>
    <row r="585" spans="2:13" x14ac:dyDescent="0.35">
      <c r="B585" s="58"/>
      <c r="C585" s="59"/>
      <c r="D585" s="59"/>
      <c r="E585" s="60"/>
      <c r="F585" s="61"/>
      <c r="G585" s="62"/>
      <c r="H585"/>
      <c r="I585" s="78"/>
      <c r="J585" s="91"/>
      <c r="K585" s="65"/>
      <c r="L585" s="98"/>
      <c r="M585" s="67"/>
    </row>
    <row r="586" spans="2:13" x14ac:dyDescent="0.35">
      <c r="B586" s="58"/>
      <c r="C586" s="59"/>
      <c r="D586" s="59"/>
      <c r="E586" s="60"/>
      <c r="F586" s="61"/>
      <c r="G586" s="62"/>
      <c r="H586"/>
      <c r="I586" s="78"/>
      <c r="J586" s="91"/>
      <c r="K586" s="65"/>
      <c r="L586" s="98"/>
      <c r="M586" s="67"/>
    </row>
    <row r="587" spans="2:13" x14ac:dyDescent="0.35">
      <c r="B587" s="58"/>
      <c r="C587" s="59"/>
      <c r="D587" s="59"/>
      <c r="E587" s="60"/>
      <c r="F587" s="61"/>
      <c r="G587" s="62"/>
      <c r="H587"/>
      <c r="I587" s="78"/>
      <c r="J587" s="91"/>
      <c r="K587" s="65"/>
      <c r="L587" s="98"/>
      <c r="M587" s="67"/>
    </row>
    <row r="588" spans="2:13" x14ac:dyDescent="0.35">
      <c r="B588" s="58"/>
      <c r="C588" s="59"/>
      <c r="D588" s="59"/>
      <c r="E588" s="60"/>
      <c r="F588" s="61"/>
      <c r="G588" s="62"/>
      <c r="H588"/>
      <c r="I588" s="78"/>
      <c r="J588" s="91"/>
      <c r="K588" s="65"/>
      <c r="L588" s="98"/>
      <c r="M588" s="67"/>
    </row>
    <row r="589" spans="2:13" x14ac:dyDescent="0.35">
      <c r="B589" s="58"/>
      <c r="C589" s="59"/>
      <c r="D589" s="59"/>
      <c r="E589" s="60"/>
      <c r="F589" s="61"/>
      <c r="G589" s="62"/>
      <c r="H589"/>
      <c r="I589" s="78"/>
      <c r="J589" s="91"/>
      <c r="K589" s="65"/>
      <c r="L589" s="98"/>
      <c r="M589" s="67"/>
    </row>
    <row r="590" spans="2:13" x14ac:dyDescent="0.35">
      <c r="B590" s="58"/>
      <c r="C590" s="59"/>
      <c r="D590" s="59"/>
      <c r="E590" s="60"/>
      <c r="F590" s="61"/>
      <c r="G590" s="62"/>
      <c r="H590"/>
      <c r="I590" s="78"/>
      <c r="J590" s="91"/>
      <c r="L590" s="99"/>
      <c r="M590" s="67"/>
    </row>
    <row r="591" spans="2:13" x14ac:dyDescent="0.35">
      <c r="B591" s="58"/>
      <c r="C591" s="59"/>
      <c r="D591" s="59"/>
      <c r="E591" s="60"/>
      <c r="F591" s="61"/>
      <c r="G591" s="62"/>
      <c r="H591"/>
      <c r="I591" s="78"/>
      <c r="J591" s="91"/>
      <c r="K591" s="65"/>
      <c r="L591" s="98"/>
      <c r="M591" s="67"/>
    </row>
    <row r="592" spans="2:13" x14ac:dyDescent="0.35">
      <c r="B592" s="58"/>
      <c r="C592" s="59"/>
      <c r="D592" s="59"/>
      <c r="E592" s="60"/>
      <c r="F592" s="61"/>
      <c r="G592" s="62"/>
      <c r="H592"/>
      <c r="I592" s="78"/>
      <c r="J592" s="91"/>
      <c r="L592" s="99"/>
      <c r="M592" s="67"/>
    </row>
    <row r="593" spans="2:13" x14ac:dyDescent="0.35">
      <c r="B593" s="58"/>
      <c r="C593" s="59"/>
      <c r="D593" s="59"/>
      <c r="E593" s="60"/>
      <c r="F593" s="61"/>
      <c r="G593" s="62"/>
      <c r="H593"/>
      <c r="I593" s="78"/>
      <c r="J593" s="91"/>
      <c r="K593" s="65"/>
      <c r="L593" s="98"/>
      <c r="M593" s="67"/>
    </row>
    <row r="594" spans="2:13" x14ac:dyDescent="0.35">
      <c r="B594" s="58"/>
      <c r="C594" s="59"/>
      <c r="D594" s="59"/>
      <c r="E594" s="60"/>
      <c r="F594" s="61"/>
      <c r="G594" s="62"/>
      <c r="H594"/>
      <c r="I594" s="78"/>
      <c r="J594" s="91"/>
      <c r="K594" s="65"/>
      <c r="L594" s="98"/>
      <c r="M594" s="67"/>
    </row>
    <row r="595" spans="2:13" x14ac:dyDescent="0.35">
      <c r="B595" s="58"/>
      <c r="C595" s="59"/>
      <c r="D595" s="59"/>
      <c r="E595" s="60"/>
      <c r="F595" s="61"/>
      <c r="G595" s="62"/>
      <c r="H595"/>
      <c r="I595" s="78"/>
      <c r="J595" s="91"/>
      <c r="K595" s="65"/>
      <c r="L595" s="98"/>
      <c r="M595" s="67"/>
    </row>
    <row r="596" spans="2:13" x14ac:dyDescent="0.35">
      <c r="B596" s="58"/>
      <c r="C596" s="59"/>
      <c r="D596" s="59"/>
      <c r="E596" s="60"/>
      <c r="F596" s="61"/>
      <c r="G596" s="62"/>
      <c r="H596"/>
      <c r="I596" s="78"/>
      <c r="J596" s="91"/>
      <c r="K596" s="70"/>
      <c r="L596" s="100"/>
      <c r="M596" s="67"/>
    </row>
    <row r="597" spans="2:13" x14ac:dyDescent="0.35">
      <c r="B597" s="58"/>
      <c r="C597" s="59"/>
      <c r="D597" s="59"/>
      <c r="E597" s="60"/>
      <c r="F597" s="61"/>
      <c r="G597" s="62"/>
      <c r="H597"/>
      <c r="I597" s="78"/>
      <c r="J597" s="91"/>
      <c r="K597" s="65"/>
      <c r="L597" s="98"/>
      <c r="M597" s="67"/>
    </row>
    <row r="598" spans="2:13" x14ac:dyDescent="0.35">
      <c r="B598" s="58"/>
      <c r="C598" s="59"/>
      <c r="D598" s="59"/>
      <c r="E598" s="60"/>
      <c r="F598" s="61"/>
      <c r="G598" s="62"/>
      <c r="H598"/>
      <c r="I598" s="78"/>
      <c r="J598" s="91"/>
      <c r="K598" s="65"/>
      <c r="L598" s="98"/>
      <c r="M598" s="67"/>
    </row>
    <row r="599" spans="2:13" x14ac:dyDescent="0.35">
      <c r="B599" s="58"/>
      <c r="C599" s="59"/>
      <c r="D599" s="59"/>
      <c r="E599" s="60"/>
      <c r="F599" s="61"/>
      <c r="G599" s="62"/>
      <c r="H599"/>
      <c r="I599" s="78"/>
      <c r="J599" s="91"/>
      <c r="K599" s="65"/>
      <c r="L599" s="98"/>
      <c r="M599" s="67"/>
    </row>
    <row r="600" spans="2:13" x14ac:dyDescent="0.35">
      <c r="B600" s="58"/>
      <c r="C600" s="59"/>
      <c r="D600" s="59"/>
      <c r="E600" s="60"/>
      <c r="F600" s="61"/>
      <c r="G600" s="62"/>
      <c r="H600"/>
      <c r="I600" s="78"/>
      <c r="J600" s="91"/>
      <c r="K600" s="65"/>
      <c r="L600" s="98"/>
      <c r="M600" s="67"/>
    </row>
    <row r="601" spans="2:13" x14ac:dyDescent="0.35">
      <c r="B601" s="58"/>
      <c r="C601" s="59"/>
      <c r="D601" s="59"/>
      <c r="E601" s="60"/>
      <c r="F601" s="61"/>
      <c r="G601" s="62"/>
      <c r="H601"/>
      <c r="I601" s="78"/>
      <c r="J601" s="91"/>
      <c r="K601" s="65"/>
      <c r="L601" s="98"/>
      <c r="M601" s="67"/>
    </row>
    <row r="602" spans="2:13" x14ac:dyDescent="0.35">
      <c r="B602" s="58"/>
      <c r="C602" s="59"/>
      <c r="D602" s="59"/>
      <c r="E602" s="60"/>
      <c r="F602" s="61"/>
      <c r="G602" s="62"/>
      <c r="H602"/>
      <c r="I602" s="78"/>
      <c r="J602" s="91"/>
      <c r="L602" s="99"/>
      <c r="M602" s="67"/>
    </row>
    <row r="603" spans="2:13" x14ac:dyDescent="0.35">
      <c r="B603" s="58"/>
      <c r="C603" s="59"/>
      <c r="D603" s="59"/>
      <c r="E603" s="60"/>
      <c r="F603" s="61"/>
      <c r="G603" s="62"/>
      <c r="H603"/>
      <c r="I603" s="78"/>
      <c r="J603" s="91"/>
      <c r="K603" s="65"/>
      <c r="L603" s="98"/>
      <c r="M603" s="67"/>
    </row>
    <row r="604" spans="2:13" x14ac:dyDescent="0.35">
      <c r="B604" s="58"/>
      <c r="C604" s="59"/>
      <c r="D604" s="59"/>
      <c r="E604" s="60"/>
      <c r="F604" s="61"/>
      <c r="G604" s="62"/>
      <c r="H604"/>
      <c r="I604" s="78"/>
      <c r="J604" s="91"/>
      <c r="K604" s="65"/>
      <c r="L604" s="98"/>
      <c r="M604" s="67"/>
    </row>
    <row r="605" spans="2:13" x14ac:dyDescent="0.35">
      <c r="B605" s="58"/>
      <c r="C605" s="59"/>
      <c r="D605" s="59"/>
      <c r="E605" s="60"/>
      <c r="F605" s="61"/>
      <c r="G605" s="62"/>
      <c r="H605"/>
      <c r="I605" s="78"/>
      <c r="J605" s="91"/>
      <c r="K605" s="65"/>
      <c r="L605" s="98"/>
      <c r="M605" s="67"/>
    </row>
    <row r="606" spans="2:13" x14ac:dyDescent="0.35">
      <c r="B606" s="58"/>
      <c r="C606" s="59"/>
      <c r="D606" s="59"/>
      <c r="E606" s="60"/>
      <c r="F606" s="61"/>
      <c r="G606" s="62"/>
      <c r="H606"/>
      <c r="I606" s="78"/>
      <c r="J606" s="91"/>
      <c r="K606" s="65"/>
      <c r="L606" s="98"/>
      <c r="M606" s="67"/>
    </row>
    <row r="607" spans="2:13" x14ac:dyDescent="0.35">
      <c r="B607" s="58"/>
      <c r="C607" s="59"/>
      <c r="D607" s="59"/>
      <c r="E607" s="60"/>
      <c r="F607" s="61"/>
      <c r="G607" s="62"/>
      <c r="H607"/>
      <c r="I607" s="78"/>
      <c r="J607" s="91"/>
      <c r="K607" s="65"/>
      <c r="L607" s="101"/>
      <c r="M607" s="67"/>
    </row>
    <row r="608" spans="2:13" x14ac:dyDescent="0.35">
      <c r="B608" s="58"/>
      <c r="C608" s="59"/>
      <c r="D608" s="59"/>
      <c r="E608" s="60"/>
      <c r="F608" s="61"/>
      <c r="G608" s="62"/>
      <c r="H608"/>
      <c r="I608" s="78"/>
      <c r="J608" s="91"/>
      <c r="K608" s="65"/>
      <c r="L608" s="98"/>
      <c r="M608" s="67"/>
    </row>
    <row r="609" spans="2:13" x14ac:dyDescent="0.35">
      <c r="B609" s="58"/>
      <c r="C609" s="59"/>
      <c r="D609" s="59"/>
      <c r="E609" s="60"/>
      <c r="F609" s="61"/>
      <c r="G609" s="62"/>
      <c r="H609"/>
      <c r="I609" s="78"/>
      <c r="J609" s="91"/>
      <c r="K609" s="65"/>
      <c r="L609" s="98"/>
      <c r="M609" s="67"/>
    </row>
    <row r="610" spans="2:13" x14ac:dyDescent="0.35">
      <c r="B610" s="58"/>
      <c r="C610" s="59"/>
      <c r="D610" s="59"/>
      <c r="E610" s="60"/>
      <c r="F610" s="61"/>
      <c r="G610" s="62"/>
      <c r="H610"/>
      <c r="I610" s="78"/>
      <c r="J610" s="76"/>
      <c r="L610" s="99"/>
      <c r="M610" s="67"/>
    </row>
    <row r="611" spans="2:13" x14ac:dyDescent="0.35">
      <c r="B611" s="58"/>
      <c r="C611" s="59"/>
      <c r="D611" s="59"/>
      <c r="E611" s="60"/>
      <c r="F611" s="61"/>
      <c r="G611" s="62"/>
      <c r="H611"/>
      <c r="I611" s="78"/>
      <c r="J611" s="91"/>
      <c r="L611" s="99"/>
      <c r="M611" s="67"/>
    </row>
    <row r="612" spans="2:13" x14ac:dyDescent="0.35">
      <c r="B612" s="58"/>
      <c r="C612" s="59"/>
      <c r="D612" s="59"/>
      <c r="E612" s="60"/>
      <c r="F612" s="61"/>
      <c r="G612" s="62"/>
      <c r="H612"/>
      <c r="I612" s="78"/>
      <c r="J612" s="91"/>
      <c r="L612" s="99"/>
      <c r="M612" s="67"/>
    </row>
    <row r="613" spans="2:13" x14ac:dyDescent="0.35">
      <c r="B613" s="58"/>
      <c r="C613" s="59"/>
      <c r="D613" s="59"/>
      <c r="E613" s="60"/>
      <c r="F613" s="61"/>
      <c r="G613" s="62"/>
      <c r="H613"/>
      <c r="I613" s="78"/>
      <c r="J613" s="91"/>
      <c r="L613" s="99"/>
      <c r="M613" s="67"/>
    </row>
    <row r="614" spans="2:13" x14ac:dyDescent="0.35">
      <c r="B614" s="58"/>
      <c r="C614" s="59"/>
      <c r="D614" s="59"/>
      <c r="E614" s="60"/>
      <c r="F614" s="61"/>
      <c r="G614" s="62"/>
      <c r="H614"/>
      <c r="I614" s="78"/>
      <c r="J614" s="91"/>
      <c r="L614" s="99"/>
      <c r="M614" s="67"/>
    </row>
    <row r="615" spans="2:13" x14ac:dyDescent="0.35">
      <c r="B615" s="58"/>
      <c r="C615" s="59"/>
      <c r="D615" s="59"/>
      <c r="E615" s="60"/>
      <c r="F615" s="61"/>
      <c r="G615" s="62"/>
      <c r="H615"/>
      <c r="I615" s="78"/>
      <c r="J615" s="91"/>
      <c r="L615" s="99"/>
      <c r="M615" s="67"/>
    </row>
    <row r="616" spans="2:13" x14ac:dyDescent="0.35">
      <c r="B616" s="58"/>
      <c r="C616" s="59"/>
      <c r="D616" s="59"/>
      <c r="E616" s="60"/>
      <c r="F616" s="61"/>
      <c r="G616" s="62"/>
      <c r="H616"/>
      <c r="I616" s="78"/>
      <c r="J616" s="91"/>
      <c r="K616" s="65"/>
      <c r="L616" s="98"/>
      <c r="M616" s="67"/>
    </row>
    <row r="617" spans="2:13" x14ac:dyDescent="0.35">
      <c r="B617" s="58"/>
      <c r="C617" s="59"/>
      <c r="D617" s="59"/>
      <c r="E617" s="60"/>
      <c r="F617" s="61"/>
      <c r="G617" s="62"/>
      <c r="H617"/>
      <c r="I617" s="78"/>
      <c r="J617" s="91"/>
      <c r="K617" s="65"/>
      <c r="L617" s="98"/>
      <c r="M617" s="67"/>
    </row>
    <row r="618" spans="2:13" x14ac:dyDescent="0.35">
      <c r="B618" s="58"/>
      <c r="C618" s="59"/>
      <c r="D618" s="59"/>
      <c r="E618" s="60"/>
      <c r="F618" s="61"/>
      <c r="G618" s="62"/>
      <c r="H618"/>
      <c r="I618" s="78"/>
      <c r="J618" s="91"/>
      <c r="K618" s="65"/>
      <c r="L618" s="98"/>
      <c r="M618" s="67"/>
    </row>
    <row r="619" spans="2:13" x14ac:dyDescent="0.35">
      <c r="B619" s="58"/>
      <c r="C619" s="59"/>
      <c r="D619" s="59"/>
      <c r="E619" s="60"/>
      <c r="F619" s="61"/>
      <c r="G619" s="62"/>
      <c r="H619"/>
      <c r="I619" s="78"/>
      <c r="J619" s="91"/>
      <c r="K619" s="65"/>
      <c r="L619" s="98"/>
      <c r="M619" s="67"/>
    </row>
    <row r="620" spans="2:13" x14ac:dyDescent="0.35">
      <c r="B620" s="58"/>
      <c r="C620" s="59"/>
      <c r="D620" s="59"/>
      <c r="E620" s="60"/>
      <c r="F620" s="61"/>
      <c r="G620" s="62"/>
      <c r="H620"/>
      <c r="I620" s="78"/>
      <c r="J620" s="91"/>
      <c r="L620" s="99"/>
      <c r="M620" s="67"/>
    </row>
    <row r="621" spans="2:13" x14ac:dyDescent="0.35">
      <c r="B621" s="58"/>
      <c r="C621" s="59"/>
      <c r="D621" s="59"/>
      <c r="E621" s="60"/>
      <c r="F621" s="61"/>
      <c r="G621" s="62"/>
      <c r="H621"/>
      <c r="I621" s="78"/>
      <c r="J621" s="91"/>
      <c r="K621" s="65"/>
      <c r="L621" s="98"/>
      <c r="M621" s="67"/>
    </row>
    <row r="622" spans="2:13" x14ac:dyDescent="0.35">
      <c r="B622" s="58"/>
      <c r="C622" s="59"/>
      <c r="D622" s="59"/>
      <c r="E622" s="60"/>
      <c r="F622" s="61"/>
      <c r="G622" s="62"/>
      <c r="H622"/>
      <c r="I622" s="78"/>
      <c r="J622" s="91"/>
      <c r="K622" s="65"/>
      <c r="L622" s="98"/>
      <c r="M622" s="67"/>
    </row>
    <row r="623" spans="2:13" x14ac:dyDescent="0.35">
      <c r="B623" s="58"/>
      <c r="C623" s="59"/>
      <c r="D623" s="59"/>
      <c r="E623" s="60"/>
      <c r="F623" s="61"/>
      <c r="G623" s="62"/>
      <c r="H623"/>
      <c r="I623" s="78"/>
      <c r="J623" s="91"/>
      <c r="K623" s="65"/>
      <c r="L623" s="98"/>
      <c r="M623" s="67"/>
    </row>
    <row r="624" spans="2:13" x14ac:dyDescent="0.35">
      <c r="B624" s="58"/>
      <c r="C624" s="59"/>
      <c r="D624" s="59"/>
      <c r="E624" s="60"/>
      <c r="F624" s="61"/>
      <c r="G624" s="62"/>
      <c r="H624"/>
      <c r="I624" s="78"/>
      <c r="J624" s="91"/>
      <c r="K624" s="65"/>
      <c r="L624" s="98"/>
      <c r="M624" s="67"/>
    </row>
    <row r="625" spans="2:13" x14ac:dyDescent="0.35">
      <c r="B625" s="58"/>
      <c r="C625" s="59"/>
      <c r="D625" s="59"/>
      <c r="E625" s="60"/>
      <c r="F625" s="61"/>
      <c r="G625" s="62"/>
      <c r="H625"/>
      <c r="I625" s="78"/>
      <c r="J625" s="91"/>
      <c r="K625" s="65"/>
      <c r="L625" s="98"/>
      <c r="M625" s="67"/>
    </row>
    <row r="626" spans="2:13" x14ac:dyDescent="0.35">
      <c r="B626" s="58"/>
      <c r="C626" s="59"/>
      <c r="D626" s="59"/>
      <c r="E626" s="60"/>
      <c r="F626" s="61"/>
      <c r="G626" s="62"/>
      <c r="H626"/>
      <c r="I626" s="78"/>
      <c r="J626" s="91"/>
      <c r="K626" s="65"/>
      <c r="L626" s="98"/>
      <c r="M626" s="67"/>
    </row>
    <row r="627" spans="2:13" x14ac:dyDescent="0.35">
      <c r="B627" s="58"/>
      <c r="C627" s="59"/>
      <c r="D627" s="59"/>
      <c r="E627" s="60"/>
      <c r="F627" s="61"/>
      <c r="G627" s="62"/>
      <c r="H627"/>
      <c r="I627" s="78"/>
      <c r="J627" s="91"/>
      <c r="K627" s="65"/>
      <c r="L627" s="98"/>
      <c r="M627" s="67"/>
    </row>
    <row r="628" spans="2:13" x14ac:dyDescent="0.35">
      <c r="B628" s="58"/>
      <c r="C628" s="59"/>
      <c r="D628" s="59"/>
      <c r="E628" s="60"/>
      <c r="F628" s="61"/>
      <c r="G628" s="62"/>
      <c r="H628"/>
      <c r="I628" s="78"/>
      <c r="J628" s="91"/>
      <c r="K628" s="65"/>
      <c r="L628" s="98"/>
      <c r="M628" s="67"/>
    </row>
    <row r="629" spans="2:13" x14ac:dyDescent="0.35">
      <c r="B629" s="58"/>
      <c r="C629" s="59"/>
      <c r="D629" s="59"/>
      <c r="E629" s="60"/>
      <c r="F629" s="61"/>
      <c r="G629" s="62"/>
      <c r="H629"/>
      <c r="I629" s="78"/>
      <c r="J629" s="91"/>
      <c r="K629" s="65"/>
      <c r="L629" s="98"/>
      <c r="M629" s="67"/>
    </row>
    <row r="630" spans="2:13" x14ac:dyDescent="0.35">
      <c r="B630" s="58"/>
      <c r="C630" s="59"/>
      <c r="D630" s="59"/>
      <c r="E630" s="60"/>
      <c r="F630" s="61"/>
      <c r="G630" s="62"/>
      <c r="H630"/>
      <c r="I630" s="78"/>
      <c r="J630" s="91"/>
      <c r="K630" s="65"/>
      <c r="L630" s="98"/>
      <c r="M630" s="67"/>
    </row>
    <row r="631" spans="2:13" x14ac:dyDescent="0.35">
      <c r="B631" s="58"/>
      <c r="C631" s="59"/>
      <c r="D631" s="59"/>
      <c r="E631" s="60"/>
      <c r="F631" s="61"/>
      <c r="G631" s="62"/>
      <c r="H631"/>
      <c r="I631" s="78"/>
      <c r="J631" s="91"/>
      <c r="L631" s="99"/>
      <c r="M631" s="67"/>
    </row>
    <row r="632" spans="2:13" x14ac:dyDescent="0.35">
      <c r="B632" s="58"/>
      <c r="C632" s="59"/>
      <c r="D632" s="59"/>
      <c r="E632" s="60"/>
      <c r="F632" s="61"/>
      <c r="G632" s="62"/>
      <c r="H632"/>
      <c r="I632" s="78"/>
      <c r="J632" s="91"/>
      <c r="L632" s="99"/>
      <c r="M632" s="67"/>
    </row>
    <row r="633" spans="2:13" x14ac:dyDescent="0.35">
      <c r="B633" s="58"/>
      <c r="C633" s="59"/>
      <c r="D633" s="59"/>
      <c r="E633" s="60"/>
      <c r="F633" s="61"/>
      <c r="G633" s="62"/>
      <c r="H633"/>
      <c r="I633" s="78"/>
      <c r="J633" s="91"/>
      <c r="K633" s="65"/>
      <c r="L633" s="98"/>
      <c r="M633" s="67"/>
    </row>
    <row r="634" spans="2:13" x14ac:dyDescent="0.35">
      <c r="B634" s="58"/>
      <c r="C634" s="59"/>
      <c r="D634" s="59"/>
      <c r="E634" s="60"/>
      <c r="F634" s="61"/>
      <c r="G634" s="62"/>
      <c r="H634"/>
      <c r="I634" s="78"/>
      <c r="J634" s="91"/>
      <c r="K634" s="65"/>
      <c r="L634" s="98"/>
      <c r="M634" s="67"/>
    </row>
    <row r="635" spans="2:13" x14ac:dyDescent="0.35">
      <c r="B635" s="58"/>
      <c r="C635" s="59"/>
      <c r="D635" s="59"/>
      <c r="E635" s="60"/>
      <c r="F635" s="61"/>
      <c r="G635" s="62"/>
      <c r="H635"/>
      <c r="I635" s="78"/>
      <c r="J635" s="91"/>
      <c r="L635" s="99"/>
      <c r="M635" s="67"/>
    </row>
    <row r="636" spans="2:13" x14ac:dyDescent="0.35">
      <c r="B636" s="58"/>
      <c r="C636" s="59"/>
      <c r="D636" s="59"/>
      <c r="E636" s="60"/>
      <c r="F636" s="61"/>
      <c r="G636" s="62"/>
      <c r="H636"/>
      <c r="I636" s="78"/>
      <c r="J636" s="91"/>
      <c r="L636" s="99"/>
      <c r="M636" s="67"/>
    </row>
    <row r="637" spans="2:13" x14ac:dyDescent="0.35">
      <c r="B637" s="58"/>
      <c r="C637" s="59"/>
      <c r="D637" s="59"/>
      <c r="E637" s="60"/>
      <c r="F637" s="61"/>
      <c r="G637" s="62"/>
      <c r="H637"/>
      <c r="I637" s="78"/>
      <c r="J637" s="91"/>
      <c r="K637" s="65"/>
      <c r="L637" s="98"/>
      <c r="M637" s="67"/>
    </row>
    <row r="638" spans="2:13" x14ac:dyDescent="0.35">
      <c r="B638" s="58"/>
      <c r="C638" s="59"/>
      <c r="D638" s="59"/>
      <c r="E638" s="60"/>
      <c r="F638" s="61"/>
      <c r="G638" s="62"/>
      <c r="H638"/>
      <c r="I638" s="78"/>
      <c r="J638" s="91"/>
      <c r="K638" s="65"/>
      <c r="L638" s="98"/>
      <c r="M638" s="67"/>
    </row>
    <row r="639" spans="2:13" x14ac:dyDescent="0.35">
      <c r="B639" s="58"/>
      <c r="C639" s="59"/>
      <c r="D639" s="59"/>
      <c r="E639" s="60"/>
      <c r="F639" s="61"/>
      <c r="G639" s="62"/>
      <c r="H639"/>
      <c r="I639" s="78"/>
      <c r="J639" s="91"/>
      <c r="K639" s="65"/>
      <c r="L639" s="98"/>
      <c r="M639" s="67"/>
    </row>
    <row r="640" spans="2:13" x14ac:dyDescent="0.35">
      <c r="B640" s="58"/>
      <c r="C640" s="59"/>
      <c r="D640" s="59"/>
      <c r="E640" s="60"/>
      <c r="F640" s="61"/>
      <c r="G640" s="62"/>
      <c r="H640"/>
      <c r="I640" s="78"/>
      <c r="J640" s="91"/>
      <c r="K640" s="65"/>
      <c r="L640" s="98"/>
      <c r="M640" s="67"/>
    </row>
    <row r="641" spans="2:13" x14ac:dyDescent="0.35">
      <c r="B641" s="58"/>
      <c r="C641" s="59"/>
      <c r="D641" s="59"/>
      <c r="E641" s="60"/>
      <c r="F641" s="61"/>
      <c r="G641" s="62"/>
      <c r="H641"/>
      <c r="I641" s="78"/>
      <c r="J641" s="91"/>
      <c r="K641" s="65"/>
      <c r="L641" s="98"/>
      <c r="M641" s="67"/>
    </row>
    <row r="642" spans="2:13" x14ac:dyDescent="0.35">
      <c r="B642" s="58"/>
      <c r="C642" s="59"/>
      <c r="D642" s="59"/>
      <c r="E642" s="60"/>
      <c r="F642" s="61"/>
      <c r="G642" s="62"/>
      <c r="H642"/>
      <c r="I642" s="78"/>
      <c r="J642" s="91"/>
      <c r="K642" s="65"/>
      <c r="L642" s="98"/>
      <c r="M642" s="67"/>
    </row>
    <row r="643" spans="2:13" x14ac:dyDescent="0.35">
      <c r="B643" s="58"/>
      <c r="C643" s="59"/>
      <c r="D643" s="59"/>
      <c r="E643" s="60"/>
      <c r="F643" s="61"/>
      <c r="G643" s="62"/>
      <c r="H643"/>
      <c r="I643" s="78"/>
      <c r="J643" s="91"/>
      <c r="L643" s="98"/>
      <c r="M643" s="67"/>
    </row>
    <row r="644" spans="2:13" x14ac:dyDescent="0.35">
      <c r="B644" s="58"/>
      <c r="C644" s="59"/>
      <c r="D644" s="59"/>
      <c r="E644" s="60"/>
      <c r="F644" s="61"/>
      <c r="G644" s="62"/>
      <c r="H644"/>
      <c r="I644" s="78"/>
      <c r="J644" s="91"/>
      <c r="K644" s="65"/>
      <c r="L644" s="98"/>
      <c r="M644" s="67"/>
    </row>
    <row r="645" spans="2:13" x14ac:dyDescent="0.35">
      <c r="B645" s="58"/>
      <c r="C645" s="59"/>
      <c r="D645" s="59"/>
      <c r="E645" s="60"/>
      <c r="F645" s="61"/>
      <c r="G645" s="62"/>
      <c r="H645"/>
      <c r="I645" s="78"/>
      <c r="J645" s="91"/>
      <c r="K645" s="65"/>
      <c r="L645" s="98"/>
      <c r="M645" s="83"/>
    </row>
    <row r="646" spans="2:13" x14ac:dyDescent="0.35">
      <c r="B646" s="58"/>
      <c r="C646" s="59"/>
      <c r="D646" s="59"/>
      <c r="E646" s="60"/>
      <c r="F646" s="61"/>
      <c r="G646" s="62"/>
      <c r="H646"/>
      <c r="I646" s="78"/>
      <c r="J646" s="91"/>
      <c r="K646" s="65"/>
      <c r="L646" s="98"/>
      <c r="M646" s="83"/>
    </row>
    <row r="647" spans="2:13" x14ac:dyDescent="0.35">
      <c r="B647" s="58"/>
      <c r="C647" s="59"/>
      <c r="D647" s="59"/>
      <c r="E647" s="60"/>
      <c r="F647" s="61"/>
      <c r="G647" s="62"/>
      <c r="H647"/>
      <c r="I647" s="78"/>
      <c r="J647" s="91"/>
      <c r="K647" s="65"/>
      <c r="L647" s="98"/>
      <c r="M647" s="83"/>
    </row>
    <row r="648" spans="2:13" x14ac:dyDescent="0.35">
      <c r="B648" s="58"/>
      <c r="C648" s="59"/>
      <c r="D648" s="59"/>
      <c r="E648" s="60"/>
      <c r="F648" s="61"/>
      <c r="G648" s="62"/>
      <c r="H648"/>
      <c r="I648" s="78"/>
      <c r="J648" s="91"/>
      <c r="K648" s="65"/>
      <c r="L648" s="98"/>
      <c r="M648" s="83"/>
    </row>
    <row r="649" spans="2:13" x14ac:dyDescent="0.35">
      <c r="B649" s="58"/>
      <c r="C649" s="59"/>
      <c r="D649" s="59"/>
      <c r="E649" s="60"/>
      <c r="F649" s="61"/>
      <c r="G649" s="62"/>
      <c r="H649"/>
      <c r="I649" s="78"/>
      <c r="J649" s="91"/>
      <c r="K649" s="65"/>
      <c r="L649" s="98"/>
      <c r="M649" s="83"/>
    </row>
    <row r="650" spans="2:13" x14ac:dyDescent="0.35">
      <c r="B650" s="58"/>
      <c r="C650" s="59"/>
      <c r="D650" s="59"/>
      <c r="E650" s="60"/>
      <c r="F650" s="61"/>
      <c r="G650" s="62"/>
      <c r="H650"/>
      <c r="I650" s="78"/>
      <c r="J650" s="91"/>
      <c r="K650" s="65"/>
      <c r="L650" s="98"/>
      <c r="M650" s="83"/>
    </row>
    <row r="651" spans="2:13" x14ac:dyDescent="0.35">
      <c r="B651" s="58"/>
      <c r="C651" s="59"/>
      <c r="D651" s="59"/>
      <c r="E651" s="60"/>
      <c r="F651" s="61"/>
      <c r="G651" s="62"/>
      <c r="H651"/>
      <c r="I651" s="78"/>
      <c r="J651" s="91"/>
      <c r="K651" s="65"/>
      <c r="L651" s="98"/>
      <c r="M651" s="83"/>
    </row>
    <row r="652" spans="2:13" x14ac:dyDescent="0.35">
      <c r="B652" s="58"/>
      <c r="C652" s="59"/>
      <c r="D652" s="59"/>
      <c r="E652" s="60"/>
      <c r="F652" s="61"/>
      <c r="G652" s="62"/>
      <c r="H652"/>
      <c r="I652" s="78"/>
      <c r="J652" s="91"/>
      <c r="K652" s="65"/>
      <c r="L652" s="98"/>
      <c r="M652" s="83"/>
    </row>
    <row r="653" spans="2:13" x14ac:dyDescent="0.35">
      <c r="B653" s="58"/>
      <c r="C653" s="59"/>
      <c r="D653" s="59"/>
      <c r="E653" s="60"/>
      <c r="F653" s="61"/>
      <c r="G653" s="62"/>
      <c r="H653"/>
      <c r="I653" s="78"/>
      <c r="J653" s="91"/>
      <c r="K653" s="65"/>
      <c r="L653" s="102"/>
      <c r="M653" s="83"/>
    </row>
    <row r="654" spans="2:13" x14ac:dyDescent="0.35">
      <c r="B654" s="58"/>
      <c r="C654" s="59"/>
      <c r="D654" s="59"/>
      <c r="E654" s="60"/>
      <c r="F654" s="61"/>
      <c r="G654" s="62"/>
      <c r="H654"/>
      <c r="I654" s="78"/>
      <c r="J654" s="91"/>
      <c r="K654" s="65"/>
      <c r="L654" s="98"/>
      <c r="M654" s="83"/>
    </row>
    <row r="655" spans="2:13" x14ac:dyDescent="0.35">
      <c r="B655" s="58"/>
      <c r="C655" s="59"/>
      <c r="D655" s="59"/>
      <c r="E655" s="60"/>
      <c r="F655" s="61"/>
      <c r="G655" s="62"/>
      <c r="H655"/>
      <c r="I655" s="78"/>
      <c r="J655" s="91"/>
      <c r="K655" s="65"/>
      <c r="L655" s="102"/>
      <c r="M655" s="83"/>
    </row>
    <row r="656" spans="2:13" x14ac:dyDescent="0.35">
      <c r="B656" s="58"/>
      <c r="C656" s="59"/>
      <c r="D656" s="59"/>
      <c r="E656" s="60"/>
      <c r="F656" s="61"/>
      <c r="G656" s="62"/>
      <c r="H656"/>
      <c r="I656" s="78"/>
      <c r="J656" s="91"/>
      <c r="K656" s="65"/>
      <c r="L656" s="98"/>
      <c r="M656" s="83"/>
    </row>
    <row r="657" spans="2:13" x14ac:dyDescent="0.35">
      <c r="B657" s="58"/>
      <c r="C657" s="59"/>
      <c r="D657" s="59"/>
      <c r="E657" s="60"/>
      <c r="F657" s="61"/>
      <c r="G657" s="62"/>
      <c r="H657"/>
      <c r="I657" s="78"/>
      <c r="J657" s="91"/>
      <c r="K657" s="65"/>
      <c r="L657" s="98"/>
      <c r="M657" s="83"/>
    </row>
    <row r="658" spans="2:13" x14ac:dyDescent="0.35">
      <c r="B658" s="58"/>
      <c r="C658" s="59"/>
      <c r="D658" s="59"/>
      <c r="E658" s="60"/>
      <c r="F658" s="61"/>
      <c r="G658" s="62"/>
      <c r="H658"/>
      <c r="I658" s="78"/>
      <c r="J658" s="91"/>
      <c r="K658" s="65"/>
      <c r="L658" s="98"/>
      <c r="M658" s="83"/>
    </row>
    <row r="659" spans="2:13" x14ac:dyDescent="0.35">
      <c r="B659" s="58"/>
      <c r="C659" s="59"/>
      <c r="D659" s="59"/>
      <c r="E659" s="60"/>
      <c r="F659" s="61"/>
      <c r="G659" s="62"/>
      <c r="H659"/>
      <c r="I659" s="78"/>
      <c r="J659" s="91"/>
      <c r="K659" s="65"/>
      <c r="L659" s="98"/>
      <c r="M659" s="83"/>
    </row>
    <row r="660" spans="2:13" x14ac:dyDescent="0.35">
      <c r="B660" s="58"/>
      <c r="C660" s="59"/>
      <c r="D660" s="59"/>
      <c r="E660" s="60"/>
      <c r="F660" s="61"/>
      <c r="G660" s="62"/>
      <c r="H660"/>
      <c r="I660" s="78"/>
      <c r="J660" s="91"/>
      <c r="K660" s="65"/>
      <c r="L660" s="98"/>
      <c r="M660" s="83"/>
    </row>
    <row r="661" spans="2:13" x14ac:dyDescent="0.35">
      <c r="B661" s="58"/>
      <c r="C661" s="59"/>
      <c r="D661" s="59"/>
      <c r="E661" s="60"/>
      <c r="F661" s="61"/>
      <c r="G661" s="62"/>
      <c r="H661"/>
      <c r="I661" s="78"/>
      <c r="J661" s="91"/>
      <c r="K661" s="65"/>
      <c r="L661" s="98"/>
      <c r="M661" s="83"/>
    </row>
    <row r="662" spans="2:13" x14ac:dyDescent="0.35">
      <c r="B662" s="58"/>
      <c r="C662" s="59"/>
      <c r="D662" s="59"/>
      <c r="E662" s="60"/>
      <c r="F662" s="61"/>
      <c r="G662" s="62"/>
      <c r="H662"/>
      <c r="I662" s="78"/>
      <c r="J662" s="91"/>
      <c r="K662" s="65"/>
      <c r="L662" s="98"/>
      <c r="M662" s="83"/>
    </row>
    <row r="663" spans="2:13" x14ac:dyDescent="0.35">
      <c r="B663" s="58"/>
      <c r="C663" s="59"/>
      <c r="D663" s="59"/>
      <c r="E663" s="60"/>
      <c r="F663" s="61"/>
      <c r="G663" s="62"/>
      <c r="H663"/>
      <c r="I663" s="78"/>
      <c r="J663" s="91"/>
      <c r="K663" s="65"/>
      <c r="L663" s="98"/>
      <c r="M663" s="83"/>
    </row>
    <row r="664" spans="2:13" x14ac:dyDescent="0.35">
      <c r="B664" s="58"/>
      <c r="C664" s="59"/>
      <c r="D664" s="59"/>
      <c r="E664" s="60"/>
      <c r="F664" s="61"/>
      <c r="G664" s="62"/>
      <c r="H664"/>
      <c r="I664" s="78"/>
      <c r="J664" s="91"/>
      <c r="K664" s="65"/>
      <c r="L664" s="98"/>
      <c r="M664" s="83"/>
    </row>
    <row r="665" spans="2:13" x14ac:dyDescent="0.35">
      <c r="B665" s="58"/>
      <c r="C665" s="59"/>
      <c r="D665" s="59"/>
      <c r="E665" s="60"/>
      <c r="F665" s="61"/>
      <c r="G665" s="62"/>
      <c r="H665"/>
      <c r="I665" s="78"/>
      <c r="J665" s="91"/>
      <c r="K665" s="65"/>
      <c r="L665" s="98"/>
      <c r="M665" s="83"/>
    </row>
    <row r="666" spans="2:13" x14ac:dyDescent="0.35">
      <c r="B666" s="58"/>
      <c r="C666" s="59"/>
      <c r="D666" s="59"/>
      <c r="E666" s="60"/>
      <c r="F666" s="61"/>
      <c r="G666" s="62"/>
      <c r="H666"/>
      <c r="I666" s="78"/>
      <c r="J666" s="91"/>
      <c r="K666" s="65"/>
      <c r="L666" s="98"/>
      <c r="M666" s="83"/>
    </row>
    <row r="667" spans="2:13" x14ac:dyDescent="0.35">
      <c r="B667" s="58"/>
      <c r="C667" s="59"/>
      <c r="D667" s="59"/>
      <c r="E667" s="60"/>
      <c r="F667" s="61"/>
      <c r="G667" s="62"/>
      <c r="H667"/>
      <c r="I667" s="78"/>
      <c r="J667" s="91"/>
      <c r="K667" s="65"/>
      <c r="L667" s="98"/>
      <c r="M667" s="83"/>
    </row>
    <row r="668" spans="2:13" x14ac:dyDescent="0.35">
      <c r="B668" s="58"/>
      <c r="C668" s="59"/>
      <c r="D668" s="59"/>
      <c r="E668" s="60"/>
      <c r="F668" s="61"/>
      <c r="G668" s="62"/>
      <c r="H668"/>
      <c r="I668" s="78"/>
      <c r="J668" s="91"/>
      <c r="K668" s="65"/>
      <c r="L668" s="98"/>
      <c r="M668" s="83"/>
    </row>
    <row r="669" spans="2:13" x14ac:dyDescent="0.35">
      <c r="B669" s="58"/>
      <c r="C669" s="59"/>
      <c r="D669" s="59"/>
      <c r="E669" s="60"/>
      <c r="F669" s="61"/>
      <c r="G669" s="62"/>
      <c r="H669"/>
      <c r="I669" s="78"/>
      <c r="J669" s="91"/>
      <c r="L669" s="99"/>
      <c r="M669" s="67"/>
    </row>
    <row r="670" spans="2:13" x14ac:dyDescent="0.35">
      <c r="B670" s="58"/>
      <c r="C670" s="59"/>
      <c r="D670" s="59"/>
      <c r="E670" s="60"/>
      <c r="F670" s="61"/>
      <c r="G670" s="62"/>
      <c r="H670"/>
      <c r="I670" s="78"/>
      <c r="J670" s="91"/>
      <c r="L670" s="99"/>
      <c r="M670" s="67"/>
    </row>
    <row r="671" spans="2:13" x14ac:dyDescent="0.35">
      <c r="B671" s="58"/>
      <c r="C671" s="59"/>
      <c r="D671" s="59"/>
      <c r="E671" s="60"/>
      <c r="F671" s="61"/>
      <c r="G671" s="62"/>
      <c r="H671"/>
      <c r="I671" s="78"/>
      <c r="J671" s="91"/>
      <c r="L671" s="99"/>
      <c r="M671" s="67"/>
    </row>
    <row r="672" spans="2:13" x14ac:dyDescent="0.35">
      <c r="B672" s="58"/>
      <c r="C672" s="59"/>
      <c r="D672" s="59"/>
      <c r="E672" s="60"/>
      <c r="F672" s="61"/>
      <c r="G672" s="62"/>
      <c r="H672"/>
      <c r="I672" s="78"/>
      <c r="J672" s="91"/>
      <c r="L672" s="99"/>
      <c r="M672" s="67"/>
    </row>
    <row r="673" spans="2:13" x14ac:dyDescent="0.35">
      <c r="B673" s="58"/>
      <c r="C673" s="59"/>
      <c r="D673" s="59"/>
      <c r="E673" s="60"/>
      <c r="F673" s="61"/>
      <c r="G673" s="62"/>
      <c r="H673"/>
      <c r="I673" s="78"/>
      <c r="J673" s="91"/>
      <c r="L673" s="99"/>
      <c r="M673" s="67"/>
    </row>
    <row r="674" spans="2:13" x14ac:dyDescent="0.35">
      <c r="B674" s="58"/>
      <c r="C674" s="59"/>
      <c r="D674" s="59"/>
      <c r="E674" s="60"/>
      <c r="F674" s="61"/>
      <c r="G674" s="62"/>
      <c r="H674"/>
      <c r="I674" s="78"/>
      <c r="J674" s="91"/>
      <c r="L674" s="99"/>
      <c r="M674" s="67"/>
    </row>
    <row r="675" spans="2:13" x14ac:dyDescent="0.35">
      <c r="B675" s="58"/>
      <c r="C675" s="59"/>
      <c r="D675" s="59"/>
      <c r="E675" s="60"/>
      <c r="F675" s="61"/>
      <c r="G675" s="62"/>
      <c r="H675"/>
      <c r="I675" s="78"/>
      <c r="J675" s="91"/>
      <c r="K675" s="65"/>
      <c r="L675" s="103"/>
      <c r="M675" s="67"/>
    </row>
    <row r="676" spans="2:13" x14ac:dyDescent="0.35">
      <c r="B676" s="58"/>
      <c r="C676" s="59"/>
      <c r="D676" s="59"/>
      <c r="E676" s="60"/>
      <c r="F676" s="61"/>
      <c r="G676" s="62"/>
      <c r="H676"/>
      <c r="I676" s="78"/>
      <c r="J676" s="91"/>
      <c r="K676" s="65"/>
      <c r="L676" s="103"/>
      <c r="M676" s="67"/>
    </row>
    <row r="677" spans="2:13" x14ac:dyDescent="0.35">
      <c r="B677" s="58"/>
      <c r="C677" s="59"/>
      <c r="D677" s="59"/>
      <c r="E677" s="60"/>
      <c r="F677" s="61"/>
      <c r="G677" s="62"/>
      <c r="H677"/>
      <c r="I677" s="78"/>
      <c r="J677" s="91"/>
      <c r="L677" s="99"/>
      <c r="M677" s="67"/>
    </row>
    <row r="678" spans="2:13" x14ac:dyDescent="0.35">
      <c r="B678" s="58"/>
      <c r="C678" s="59"/>
      <c r="D678" s="59"/>
      <c r="E678" s="60"/>
      <c r="F678" s="61"/>
      <c r="G678" s="62"/>
      <c r="H678"/>
      <c r="I678" s="78"/>
      <c r="J678" s="91"/>
      <c r="K678" s="65"/>
      <c r="L678" s="104"/>
      <c r="M678" s="67"/>
    </row>
    <row r="679" spans="2:13" x14ac:dyDescent="0.35">
      <c r="B679" s="58"/>
      <c r="C679" s="59"/>
      <c r="D679" s="59"/>
      <c r="E679" s="60"/>
      <c r="F679" s="61"/>
      <c r="G679" s="62"/>
      <c r="H679"/>
      <c r="I679" s="78"/>
      <c r="J679" s="91"/>
      <c r="K679" s="65"/>
      <c r="L679" s="104"/>
      <c r="M679" s="67"/>
    </row>
    <row r="680" spans="2:13" x14ac:dyDescent="0.35">
      <c r="B680" s="58"/>
      <c r="C680" s="59"/>
      <c r="D680" s="59"/>
      <c r="E680" s="60"/>
      <c r="F680" s="61"/>
      <c r="G680" s="62"/>
      <c r="H680"/>
      <c r="I680" s="78"/>
      <c r="J680" s="91"/>
      <c r="K680" s="65"/>
      <c r="L680" s="98"/>
      <c r="M680" s="67"/>
    </row>
    <row r="681" spans="2:13" x14ac:dyDescent="0.35">
      <c r="B681" s="58"/>
      <c r="C681" s="59"/>
      <c r="D681" s="59"/>
      <c r="E681" s="60"/>
      <c r="F681" s="61"/>
      <c r="G681" s="62"/>
      <c r="H681"/>
      <c r="I681" s="78"/>
      <c r="J681" s="91"/>
      <c r="L681" s="99"/>
      <c r="M681" s="67"/>
    </row>
    <row r="682" spans="2:13" x14ac:dyDescent="0.35">
      <c r="B682" s="58"/>
      <c r="C682" s="59"/>
      <c r="D682" s="59"/>
      <c r="E682" s="60"/>
      <c r="F682" s="61"/>
      <c r="G682" s="62"/>
      <c r="H682"/>
      <c r="I682" s="78"/>
      <c r="J682" s="91"/>
      <c r="L682" s="99"/>
      <c r="M682" s="67"/>
    </row>
    <row r="683" spans="2:13" x14ac:dyDescent="0.35">
      <c r="B683" s="58"/>
      <c r="C683" s="59"/>
      <c r="D683" s="59"/>
      <c r="E683" s="60"/>
      <c r="F683" s="61"/>
      <c r="G683" s="62"/>
      <c r="H683"/>
      <c r="I683" s="78"/>
      <c r="J683" s="91"/>
      <c r="L683" s="99"/>
      <c r="M683" s="67"/>
    </row>
    <row r="684" spans="2:13" x14ac:dyDescent="0.35">
      <c r="B684" s="58"/>
      <c r="C684" s="59"/>
      <c r="D684" s="59"/>
      <c r="E684" s="60"/>
      <c r="F684" s="61"/>
      <c r="G684" s="62"/>
      <c r="H684"/>
      <c r="I684" s="78"/>
      <c r="J684" s="91"/>
      <c r="L684" s="99"/>
      <c r="M684" s="67"/>
    </row>
    <row r="685" spans="2:13" x14ac:dyDescent="0.35">
      <c r="B685" s="58"/>
      <c r="C685" s="59"/>
      <c r="D685" s="59"/>
      <c r="E685" s="60"/>
      <c r="F685" s="61"/>
      <c r="G685" s="62"/>
      <c r="H685"/>
      <c r="I685" s="78"/>
      <c r="J685" s="91"/>
      <c r="L685" s="99"/>
      <c r="M685" s="67"/>
    </row>
    <row r="686" spans="2:13" x14ac:dyDescent="0.35">
      <c r="B686" s="58"/>
      <c r="C686" s="59"/>
      <c r="D686" s="59"/>
      <c r="E686" s="60"/>
      <c r="F686" s="61"/>
      <c r="G686" s="62"/>
      <c r="H686"/>
      <c r="I686" s="78"/>
      <c r="J686" s="91"/>
      <c r="K686" s="65"/>
      <c r="L686" s="104"/>
      <c r="M686" s="67"/>
    </row>
    <row r="687" spans="2:13" x14ac:dyDescent="0.35">
      <c r="B687" s="58"/>
      <c r="C687" s="59"/>
      <c r="D687" s="59"/>
      <c r="E687" s="60"/>
      <c r="F687" s="61"/>
      <c r="G687" s="62"/>
      <c r="H687"/>
      <c r="I687" s="78"/>
      <c r="J687" s="91"/>
      <c r="L687" s="99"/>
      <c r="M687" s="67"/>
    </row>
    <row r="688" spans="2:13" x14ac:dyDescent="0.35">
      <c r="B688" s="58"/>
      <c r="C688" s="59"/>
      <c r="D688" s="59"/>
      <c r="E688" s="60"/>
      <c r="F688" s="61"/>
      <c r="G688" s="62"/>
      <c r="H688"/>
      <c r="I688" s="78"/>
      <c r="J688" s="91"/>
      <c r="L688" s="99"/>
      <c r="M688" s="67"/>
    </row>
    <row r="689" spans="2:13" x14ac:dyDescent="0.35">
      <c r="B689" s="58"/>
      <c r="C689" s="59"/>
      <c r="D689" s="59"/>
      <c r="E689" s="60"/>
      <c r="F689" s="61"/>
      <c r="G689" s="62"/>
      <c r="H689"/>
      <c r="I689" s="78"/>
      <c r="J689" s="91"/>
      <c r="L689" s="99"/>
      <c r="M689" s="67"/>
    </row>
    <row r="690" spans="2:13" x14ac:dyDescent="0.35">
      <c r="B690" s="58"/>
      <c r="C690" s="59"/>
      <c r="D690" s="59"/>
      <c r="E690" s="60"/>
      <c r="F690" s="61"/>
      <c r="G690" s="62"/>
      <c r="H690"/>
      <c r="I690" s="78"/>
      <c r="J690" s="91"/>
      <c r="L690" s="99"/>
      <c r="M690" s="67"/>
    </row>
    <row r="691" spans="2:13" x14ac:dyDescent="0.35">
      <c r="B691" s="58"/>
      <c r="C691" s="59"/>
      <c r="D691" s="59"/>
      <c r="E691" s="60"/>
      <c r="F691" s="61"/>
      <c r="G691" s="62"/>
      <c r="H691"/>
      <c r="I691" s="78"/>
      <c r="J691" s="76"/>
      <c r="L691" s="99"/>
      <c r="M691" s="67"/>
    </row>
    <row r="692" spans="2:13" x14ac:dyDescent="0.35">
      <c r="B692" s="58"/>
      <c r="C692" s="59"/>
      <c r="D692" s="59"/>
      <c r="E692" s="60"/>
      <c r="F692" s="61"/>
      <c r="G692" s="62"/>
      <c r="H692"/>
      <c r="I692" s="78"/>
      <c r="J692" s="91"/>
      <c r="L692" s="99"/>
      <c r="M692" s="67"/>
    </row>
    <row r="693" spans="2:13" x14ac:dyDescent="0.35">
      <c r="B693" s="58"/>
      <c r="C693" s="59"/>
      <c r="D693" s="59"/>
      <c r="E693" s="60"/>
      <c r="F693" s="61"/>
      <c r="G693" s="62"/>
      <c r="H693"/>
      <c r="I693" s="78"/>
      <c r="J693" s="91"/>
      <c r="K693" s="65"/>
      <c r="L693" s="98"/>
      <c r="M693" s="67"/>
    </row>
    <row r="694" spans="2:13" x14ac:dyDescent="0.35">
      <c r="B694" s="58"/>
      <c r="C694" s="59"/>
      <c r="D694" s="59"/>
      <c r="E694" s="60"/>
      <c r="F694" s="61"/>
      <c r="G694" s="62"/>
      <c r="H694"/>
      <c r="I694" s="78"/>
      <c r="J694" s="91"/>
      <c r="K694" s="65"/>
      <c r="L694" s="98"/>
      <c r="M694" s="67"/>
    </row>
    <row r="695" spans="2:13" x14ac:dyDescent="0.35">
      <c r="B695" s="58"/>
      <c r="C695" s="59"/>
      <c r="D695" s="59"/>
      <c r="E695" s="60"/>
      <c r="F695" s="61"/>
      <c r="G695" s="62"/>
      <c r="H695"/>
      <c r="I695" s="78"/>
      <c r="J695" s="91"/>
      <c r="L695" s="99"/>
      <c r="M695" s="67"/>
    </row>
    <row r="696" spans="2:13" x14ac:dyDescent="0.35">
      <c r="B696" s="58"/>
      <c r="C696" s="59"/>
      <c r="D696" s="59"/>
      <c r="E696" s="60"/>
      <c r="F696" s="61"/>
      <c r="G696" s="62"/>
      <c r="H696"/>
      <c r="I696" s="78"/>
      <c r="J696" s="91"/>
      <c r="L696" s="99"/>
      <c r="M696" s="67"/>
    </row>
    <row r="697" spans="2:13" x14ac:dyDescent="0.35">
      <c r="B697" s="58"/>
      <c r="C697" s="59"/>
      <c r="D697" s="59"/>
      <c r="E697" s="60"/>
      <c r="F697" s="61"/>
      <c r="G697" s="62"/>
      <c r="H697"/>
      <c r="I697" s="78"/>
      <c r="J697" s="91"/>
      <c r="L697" s="99"/>
      <c r="M697" s="67"/>
    </row>
    <row r="698" spans="2:13" x14ac:dyDescent="0.35">
      <c r="B698" s="58"/>
      <c r="C698" s="59"/>
      <c r="D698" s="59"/>
      <c r="E698" s="60"/>
      <c r="F698" s="61"/>
      <c r="G698" s="62"/>
      <c r="H698"/>
      <c r="I698" s="78"/>
      <c r="J698" s="91"/>
      <c r="K698" s="65"/>
      <c r="L698" s="98"/>
      <c r="M698" s="67"/>
    </row>
    <row r="699" spans="2:13" x14ac:dyDescent="0.35">
      <c r="B699" s="58"/>
      <c r="C699" s="59"/>
      <c r="D699" s="59"/>
      <c r="E699" s="60"/>
      <c r="F699" s="61"/>
      <c r="G699" s="62"/>
      <c r="H699"/>
      <c r="I699" s="78"/>
      <c r="J699" s="91"/>
      <c r="K699" s="65"/>
      <c r="L699" s="98"/>
      <c r="M699" s="67"/>
    </row>
    <row r="700" spans="2:13" x14ac:dyDescent="0.35">
      <c r="B700" s="58"/>
      <c r="C700" s="59"/>
      <c r="D700" s="59"/>
      <c r="E700" s="60"/>
      <c r="F700" s="61"/>
      <c r="G700" s="62"/>
      <c r="H700"/>
      <c r="I700" s="78"/>
      <c r="J700" s="91"/>
      <c r="K700" s="65"/>
      <c r="L700" s="98"/>
      <c r="M700" s="67"/>
    </row>
    <row r="701" spans="2:13" x14ac:dyDescent="0.35">
      <c r="B701" s="58"/>
      <c r="C701" s="59"/>
      <c r="D701" s="59"/>
      <c r="E701" s="60"/>
      <c r="F701" s="61"/>
      <c r="G701" s="62"/>
      <c r="H701"/>
      <c r="I701" s="78"/>
      <c r="J701" s="91"/>
      <c r="K701" s="65"/>
      <c r="L701" s="98"/>
      <c r="M701" s="67"/>
    </row>
    <row r="702" spans="2:13" x14ac:dyDescent="0.35">
      <c r="B702" s="58"/>
      <c r="C702" s="59"/>
      <c r="D702" s="59"/>
      <c r="E702" s="60"/>
      <c r="F702" s="61"/>
      <c r="G702" s="62"/>
      <c r="H702"/>
      <c r="I702" s="78"/>
      <c r="J702" s="91"/>
      <c r="K702" s="65"/>
      <c r="L702" s="98"/>
      <c r="M702" s="67"/>
    </row>
    <row r="703" spans="2:13" x14ac:dyDescent="0.35">
      <c r="B703" s="58"/>
      <c r="C703" s="59"/>
      <c r="D703" s="59"/>
      <c r="E703" s="60"/>
      <c r="F703" s="61"/>
      <c r="G703" s="62"/>
      <c r="H703"/>
      <c r="I703" s="78"/>
      <c r="J703" s="91"/>
      <c r="K703" s="65"/>
      <c r="L703" s="98"/>
      <c r="M703" s="67"/>
    </row>
    <row r="704" spans="2:13" x14ac:dyDescent="0.35">
      <c r="B704" s="58"/>
      <c r="C704" s="59"/>
      <c r="D704" s="59"/>
      <c r="E704" s="60"/>
      <c r="F704" s="61"/>
      <c r="G704" s="62"/>
      <c r="H704"/>
      <c r="I704" s="78"/>
      <c r="J704" s="91"/>
      <c r="K704" s="65"/>
      <c r="L704" s="98"/>
      <c r="M704" s="67"/>
    </row>
    <row r="705" spans="2:16" x14ac:dyDescent="0.35">
      <c r="B705" s="58"/>
      <c r="C705" s="59"/>
      <c r="D705" s="59"/>
      <c r="E705" s="60"/>
      <c r="F705" s="61"/>
      <c r="G705" s="62"/>
      <c r="H705"/>
      <c r="I705" s="78"/>
      <c r="J705" s="91"/>
      <c r="K705" s="65"/>
      <c r="L705" s="98"/>
      <c r="M705" s="67"/>
    </row>
    <row r="706" spans="2:16" x14ac:dyDescent="0.35">
      <c r="B706" s="58"/>
      <c r="C706" s="59"/>
      <c r="D706" s="59"/>
      <c r="E706" s="60"/>
      <c r="F706" s="61"/>
      <c r="G706" s="62"/>
      <c r="H706"/>
      <c r="I706" s="78"/>
      <c r="J706" s="91"/>
      <c r="K706" s="65"/>
      <c r="L706" s="98"/>
      <c r="M706" s="67"/>
    </row>
    <row r="707" spans="2:16" x14ac:dyDescent="0.35">
      <c r="B707" s="58"/>
      <c r="C707" s="59"/>
      <c r="D707" s="59"/>
      <c r="E707" s="60"/>
      <c r="F707" s="61"/>
      <c r="G707" s="62"/>
      <c r="H707"/>
      <c r="I707" s="78"/>
      <c r="J707" s="91"/>
      <c r="K707" s="65"/>
      <c r="L707" s="98"/>
      <c r="M707" s="67"/>
    </row>
    <row r="708" spans="2:16" x14ac:dyDescent="0.35">
      <c r="B708" s="58"/>
      <c r="C708" s="59"/>
      <c r="D708" s="59"/>
      <c r="E708" s="60"/>
      <c r="F708" s="61"/>
      <c r="G708" s="62"/>
      <c r="H708"/>
      <c r="I708" s="78"/>
      <c r="J708" s="91"/>
      <c r="K708" s="70"/>
      <c r="L708" s="98"/>
      <c r="M708" s="67"/>
    </row>
    <row r="709" spans="2:16" x14ac:dyDescent="0.35">
      <c r="B709" s="58"/>
      <c r="C709" s="59"/>
      <c r="D709" s="59"/>
      <c r="E709" s="60"/>
      <c r="F709" s="61"/>
      <c r="G709" s="62"/>
      <c r="H709"/>
      <c r="I709" s="78"/>
      <c r="J709" s="91"/>
      <c r="K709" s="65"/>
      <c r="L709" s="98"/>
      <c r="M709" s="67"/>
    </row>
    <row r="710" spans="2:16" x14ac:dyDescent="0.35">
      <c r="B710" s="58"/>
      <c r="C710" s="59"/>
      <c r="D710" s="59"/>
      <c r="E710" s="60"/>
      <c r="F710" s="61"/>
      <c r="G710" s="62"/>
      <c r="H710"/>
      <c r="I710" s="78"/>
      <c r="J710" s="91"/>
      <c r="K710" s="65"/>
      <c r="L710" s="98"/>
      <c r="M710" s="67"/>
    </row>
    <row r="711" spans="2:16" x14ac:dyDescent="0.35">
      <c r="B711" s="58"/>
      <c r="C711" s="59"/>
      <c r="D711" s="59"/>
      <c r="E711" s="60"/>
      <c r="F711" s="61"/>
      <c r="G711" s="62"/>
      <c r="H711"/>
      <c r="I711" s="78"/>
      <c r="J711" s="91"/>
      <c r="K711" s="65"/>
      <c r="L711" s="98"/>
      <c r="M711" s="67"/>
    </row>
    <row r="712" spans="2:16" x14ac:dyDescent="0.35">
      <c r="B712" s="58"/>
      <c r="C712" s="59"/>
      <c r="D712" s="59"/>
      <c r="E712" s="60"/>
      <c r="F712" s="61"/>
      <c r="G712" s="62"/>
      <c r="H712"/>
      <c r="I712" s="78"/>
      <c r="J712" s="91"/>
      <c r="K712" s="65"/>
      <c r="L712" s="105"/>
      <c r="M712" s="67"/>
    </row>
    <row r="713" spans="2:16" x14ac:dyDescent="0.35">
      <c r="B713" s="58"/>
      <c r="C713" s="59"/>
      <c r="D713" s="59"/>
      <c r="E713" s="60"/>
      <c r="F713" s="61"/>
      <c r="G713" s="62"/>
      <c r="H713"/>
      <c r="I713" s="78"/>
      <c r="J713" s="91"/>
      <c r="K713" s="106"/>
      <c r="L713" s="98"/>
      <c r="M713" s="67"/>
      <c r="N713" s="77"/>
    </row>
    <row r="714" spans="2:16" x14ac:dyDescent="0.35">
      <c r="B714" s="58"/>
      <c r="C714" s="59"/>
      <c r="D714" s="59"/>
      <c r="E714" s="60"/>
      <c r="F714" s="61"/>
      <c r="G714" s="62"/>
      <c r="H714"/>
      <c r="I714" s="78"/>
      <c r="J714" s="91"/>
      <c r="K714" s="106"/>
      <c r="L714" s="98"/>
      <c r="M714" s="67"/>
      <c r="N714" s="77"/>
      <c r="O714" s="2"/>
      <c r="P714" s="2"/>
    </row>
    <row r="715" spans="2:16" x14ac:dyDescent="0.35">
      <c r="B715" s="58"/>
      <c r="C715" s="59"/>
      <c r="D715" s="59"/>
      <c r="E715" s="60"/>
      <c r="F715" s="61"/>
      <c r="G715" s="62"/>
      <c r="H715"/>
      <c r="I715" s="78"/>
      <c r="J715" s="91"/>
      <c r="K715" s="106"/>
      <c r="L715" s="98"/>
      <c r="M715" s="67"/>
      <c r="N715" s="77"/>
    </row>
    <row r="716" spans="2:16" x14ac:dyDescent="0.35">
      <c r="B716" s="58"/>
      <c r="C716" s="59"/>
      <c r="D716" s="59"/>
      <c r="E716" s="60"/>
      <c r="F716" s="61"/>
      <c r="G716" s="62"/>
      <c r="H716"/>
      <c r="I716" s="78"/>
      <c r="J716" s="91"/>
      <c r="K716" s="106"/>
      <c r="L716" s="98"/>
      <c r="M716" s="67"/>
      <c r="N716" s="77"/>
    </row>
    <row r="717" spans="2:16" x14ac:dyDescent="0.35">
      <c r="B717" s="58"/>
      <c r="C717" s="59"/>
      <c r="D717" s="59"/>
      <c r="E717" s="60"/>
      <c r="F717" s="61"/>
      <c r="G717" s="62"/>
      <c r="H717"/>
      <c r="I717" s="78"/>
      <c r="J717" s="91"/>
      <c r="K717" s="106"/>
      <c r="L717" s="98"/>
      <c r="M717" s="67"/>
      <c r="N717" s="77"/>
    </row>
    <row r="718" spans="2:16" x14ac:dyDescent="0.35">
      <c r="B718" s="58"/>
      <c r="C718" s="59"/>
      <c r="D718" s="59"/>
      <c r="E718" s="60"/>
      <c r="F718" s="61"/>
      <c r="G718" s="62"/>
      <c r="H718"/>
      <c r="I718" s="78"/>
      <c r="J718" s="91"/>
      <c r="K718" s="107"/>
      <c r="L718" s="98"/>
      <c r="M718" s="67"/>
      <c r="N718" s="77"/>
    </row>
    <row r="719" spans="2:16" x14ac:dyDescent="0.35">
      <c r="B719" s="58"/>
      <c r="C719" s="59"/>
      <c r="D719" s="59"/>
      <c r="E719" s="60"/>
      <c r="F719" s="61"/>
      <c r="G719" s="62"/>
      <c r="H719"/>
      <c r="I719" s="78"/>
      <c r="J719" s="91"/>
      <c r="K719" s="107"/>
      <c r="L719" s="99"/>
      <c r="M719" s="67"/>
      <c r="N719" s="77"/>
    </row>
    <row r="720" spans="2:16" x14ac:dyDescent="0.35">
      <c r="B720" s="58"/>
      <c r="C720" s="59"/>
      <c r="D720" s="59"/>
      <c r="E720" s="60"/>
      <c r="F720" s="61"/>
      <c r="G720" s="62"/>
      <c r="H720"/>
      <c r="I720" s="78"/>
      <c r="J720" s="91"/>
      <c r="K720" s="107"/>
      <c r="L720" s="99"/>
      <c r="M720" s="67"/>
      <c r="N720" s="77"/>
    </row>
    <row r="721" spans="2:14" x14ac:dyDescent="0.35">
      <c r="B721" s="58"/>
      <c r="C721" s="59"/>
      <c r="D721" s="59"/>
      <c r="E721" s="60"/>
      <c r="F721" s="61"/>
      <c r="G721" s="62"/>
      <c r="H721"/>
      <c r="I721" s="78"/>
      <c r="J721" s="91"/>
      <c r="K721" s="107"/>
      <c r="L721" s="99"/>
      <c r="M721" s="67"/>
      <c r="N721" s="77"/>
    </row>
    <row r="722" spans="2:14" x14ac:dyDescent="0.35">
      <c r="B722" s="58"/>
      <c r="C722" s="59"/>
      <c r="D722" s="59"/>
      <c r="E722" s="60"/>
      <c r="F722" s="61"/>
      <c r="G722" s="62"/>
      <c r="H722"/>
      <c r="I722" s="78"/>
      <c r="J722" s="91"/>
      <c r="K722" s="107"/>
      <c r="L722" s="99"/>
      <c r="M722" s="67"/>
      <c r="N722" s="77"/>
    </row>
    <row r="723" spans="2:14" x14ac:dyDescent="0.35">
      <c r="B723" s="58"/>
      <c r="C723" s="59"/>
      <c r="D723" s="59"/>
      <c r="E723" s="60"/>
      <c r="F723" s="61"/>
      <c r="G723" s="62"/>
      <c r="H723"/>
      <c r="I723" s="78"/>
      <c r="J723" s="91"/>
      <c r="K723" s="106"/>
      <c r="L723" s="98"/>
      <c r="M723" s="67"/>
      <c r="N723" s="77"/>
    </row>
    <row r="724" spans="2:14" x14ac:dyDescent="0.35">
      <c r="B724" s="58"/>
      <c r="C724" s="59"/>
      <c r="D724" s="59"/>
      <c r="E724" s="60"/>
      <c r="F724" s="61"/>
      <c r="G724" s="62"/>
      <c r="H724"/>
      <c r="I724" s="78"/>
      <c r="J724" s="91"/>
      <c r="K724" s="108"/>
      <c r="L724" s="98"/>
      <c r="M724" s="67"/>
      <c r="N724" s="77"/>
    </row>
    <row r="725" spans="2:14" x14ac:dyDescent="0.35">
      <c r="B725" s="58"/>
      <c r="C725" s="59"/>
      <c r="D725" s="59"/>
      <c r="E725" s="60"/>
      <c r="F725" s="61"/>
      <c r="G725" s="62"/>
      <c r="H725"/>
      <c r="I725" s="78"/>
      <c r="J725" s="91"/>
      <c r="K725" s="106"/>
      <c r="L725" s="98"/>
      <c r="M725" s="67"/>
      <c r="N725" s="77"/>
    </row>
    <row r="726" spans="2:14" x14ac:dyDescent="0.35">
      <c r="B726" s="58"/>
      <c r="C726" s="59"/>
      <c r="D726" s="59"/>
      <c r="E726" s="60"/>
      <c r="F726" s="61"/>
      <c r="G726" s="62"/>
      <c r="H726"/>
      <c r="I726" s="78"/>
      <c r="J726" s="91"/>
      <c r="K726" s="106"/>
      <c r="L726" s="98"/>
      <c r="M726" s="67"/>
      <c r="N726" s="77"/>
    </row>
    <row r="727" spans="2:14" x14ac:dyDescent="0.35">
      <c r="B727" s="58"/>
      <c r="C727" s="59"/>
      <c r="D727" s="59"/>
      <c r="E727" s="60"/>
      <c r="F727" s="61"/>
      <c r="G727" s="62"/>
      <c r="H727"/>
      <c r="I727" s="78"/>
      <c r="J727" s="91"/>
      <c r="K727" s="106"/>
      <c r="L727" s="98"/>
      <c r="M727" s="67"/>
      <c r="N727" s="77"/>
    </row>
    <row r="728" spans="2:14" x14ac:dyDescent="0.35">
      <c r="B728" s="58"/>
      <c r="C728" s="59"/>
      <c r="D728" s="59"/>
      <c r="E728" s="60"/>
      <c r="F728" s="61"/>
      <c r="G728" s="62"/>
      <c r="H728"/>
      <c r="I728" s="78"/>
      <c r="J728" s="91"/>
      <c r="K728" s="106"/>
      <c r="L728" s="98"/>
      <c r="M728" s="67"/>
      <c r="N728" s="77"/>
    </row>
    <row r="729" spans="2:14" x14ac:dyDescent="0.35">
      <c r="B729" s="58"/>
      <c r="C729" s="59"/>
      <c r="D729" s="59"/>
      <c r="E729" s="60"/>
      <c r="F729" s="61"/>
      <c r="G729" s="62"/>
      <c r="H729"/>
      <c r="I729" s="78"/>
      <c r="J729" s="91"/>
      <c r="K729" s="106"/>
      <c r="L729" s="98"/>
      <c r="M729" s="67"/>
      <c r="N729" s="77"/>
    </row>
    <row r="730" spans="2:14" x14ac:dyDescent="0.35">
      <c r="B730" s="58"/>
      <c r="C730" s="59"/>
      <c r="D730" s="59"/>
      <c r="E730" s="60"/>
      <c r="F730" s="61"/>
      <c r="G730" s="62"/>
      <c r="H730"/>
      <c r="I730" s="78"/>
      <c r="J730" s="91"/>
      <c r="K730" s="107"/>
      <c r="L730" s="99"/>
      <c r="M730" s="67"/>
      <c r="N730" s="77"/>
    </row>
    <row r="731" spans="2:14" x14ac:dyDescent="0.35">
      <c r="B731" s="58"/>
      <c r="C731" s="59"/>
      <c r="D731" s="59"/>
      <c r="E731" s="60"/>
      <c r="F731" s="61"/>
      <c r="G731" s="62"/>
      <c r="H731"/>
      <c r="I731" s="78"/>
      <c r="J731" s="91"/>
      <c r="K731" s="107"/>
      <c r="L731" s="99"/>
      <c r="M731" s="67"/>
      <c r="N731" s="77"/>
    </row>
    <row r="732" spans="2:14" x14ac:dyDescent="0.35">
      <c r="B732" s="58"/>
      <c r="C732" s="59"/>
      <c r="D732" s="59"/>
      <c r="E732" s="60"/>
      <c r="F732" s="61"/>
      <c r="G732" s="62"/>
      <c r="H732"/>
      <c r="I732" s="78"/>
      <c r="J732" s="91"/>
      <c r="K732" s="107"/>
      <c r="L732" s="99"/>
      <c r="M732" s="67"/>
      <c r="N732" s="77"/>
    </row>
    <row r="733" spans="2:14" x14ac:dyDescent="0.35">
      <c r="B733" s="58"/>
      <c r="C733" s="59"/>
      <c r="D733" s="59"/>
      <c r="E733" s="60"/>
      <c r="F733" s="61"/>
      <c r="G733" s="62"/>
      <c r="H733"/>
      <c r="I733" s="78"/>
      <c r="J733" s="91"/>
      <c r="K733" s="106"/>
      <c r="L733" s="98"/>
      <c r="M733" s="67"/>
      <c r="N733" s="77"/>
    </row>
    <row r="734" spans="2:14" x14ac:dyDescent="0.35">
      <c r="B734" s="58"/>
      <c r="C734" s="59"/>
      <c r="D734" s="59"/>
      <c r="E734" s="60"/>
      <c r="F734" s="61"/>
      <c r="G734" s="62"/>
      <c r="H734"/>
      <c r="I734" s="78"/>
      <c r="J734" s="91"/>
      <c r="K734" s="106"/>
      <c r="L734" s="98"/>
      <c r="M734" s="67"/>
      <c r="N734" s="77"/>
    </row>
    <row r="735" spans="2:14" x14ac:dyDescent="0.35">
      <c r="B735" s="58"/>
      <c r="C735" s="59"/>
      <c r="D735" s="59"/>
      <c r="E735" s="60"/>
      <c r="F735" s="61"/>
      <c r="G735" s="62"/>
      <c r="H735"/>
      <c r="I735" s="78"/>
      <c r="J735" s="91"/>
      <c r="K735" s="106"/>
      <c r="L735" s="98"/>
      <c r="M735" s="67"/>
      <c r="N735" s="77"/>
    </row>
    <row r="736" spans="2:14" x14ac:dyDescent="0.35">
      <c r="B736" s="58"/>
      <c r="C736" s="59"/>
      <c r="D736" s="59"/>
      <c r="E736" s="60"/>
      <c r="F736" s="61"/>
      <c r="G736" s="62"/>
      <c r="H736"/>
      <c r="I736" s="78"/>
      <c r="J736" s="91"/>
      <c r="K736" s="107"/>
      <c r="L736" s="99"/>
      <c r="M736" s="67"/>
      <c r="N736" s="77"/>
    </row>
    <row r="737" spans="2:14" x14ac:dyDescent="0.35">
      <c r="B737" s="58"/>
      <c r="C737" s="59"/>
      <c r="D737" s="59"/>
      <c r="E737" s="60"/>
      <c r="F737" s="61"/>
      <c r="G737" s="62"/>
      <c r="H737"/>
      <c r="I737" s="78"/>
      <c r="J737" s="91"/>
      <c r="K737" s="106"/>
      <c r="L737" s="104"/>
      <c r="M737" s="67"/>
      <c r="N737" s="77"/>
    </row>
    <row r="738" spans="2:14" x14ac:dyDescent="0.35">
      <c r="B738" s="58"/>
      <c r="C738" s="59"/>
      <c r="D738" s="59"/>
      <c r="E738" s="60"/>
      <c r="F738" s="61"/>
      <c r="G738" s="62"/>
      <c r="H738"/>
      <c r="I738" s="78"/>
      <c r="J738" s="91"/>
      <c r="K738" s="106"/>
      <c r="L738" s="98"/>
      <c r="M738" s="67"/>
      <c r="N738" s="77"/>
    </row>
    <row r="739" spans="2:14" x14ac:dyDescent="0.35">
      <c r="B739" s="58"/>
      <c r="C739" s="59"/>
      <c r="D739" s="59"/>
      <c r="E739" s="60"/>
      <c r="F739" s="61"/>
      <c r="G739" s="62"/>
      <c r="H739"/>
      <c r="I739" s="78"/>
      <c r="J739" s="91"/>
      <c r="K739" s="106"/>
      <c r="L739" s="104"/>
      <c r="M739" s="67"/>
      <c r="N739" s="77"/>
    </row>
    <row r="740" spans="2:14" x14ac:dyDescent="0.35">
      <c r="B740" s="58"/>
      <c r="C740" s="59"/>
      <c r="D740" s="59"/>
      <c r="E740" s="60"/>
      <c r="F740" s="61"/>
      <c r="G740" s="62"/>
      <c r="H740"/>
      <c r="I740" s="78"/>
      <c r="J740" s="91"/>
      <c r="K740" s="106"/>
      <c r="L740" s="98"/>
      <c r="M740" s="67"/>
      <c r="N740" s="77"/>
    </row>
    <row r="741" spans="2:14" x14ac:dyDescent="0.35">
      <c r="B741" s="58"/>
      <c r="C741" s="59"/>
      <c r="D741" s="59"/>
      <c r="E741" s="60"/>
      <c r="F741" s="61"/>
      <c r="G741" s="62"/>
      <c r="H741"/>
      <c r="I741" s="78"/>
      <c r="J741" s="91"/>
      <c r="K741" s="107"/>
      <c r="L741" s="99"/>
      <c r="M741" s="67"/>
      <c r="N741" s="77"/>
    </row>
    <row r="742" spans="2:14" x14ac:dyDescent="0.35">
      <c r="B742" s="58"/>
      <c r="C742" s="59"/>
      <c r="D742" s="59"/>
      <c r="E742" s="60"/>
      <c r="F742" s="61"/>
      <c r="G742" s="62"/>
      <c r="H742"/>
      <c r="I742" s="78"/>
      <c r="J742" s="91"/>
      <c r="K742" s="106"/>
      <c r="L742" s="98"/>
      <c r="M742" s="67"/>
      <c r="N742" s="77"/>
    </row>
    <row r="743" spans="2:14" x14ac:dyDescent="0.35">
      <c r="B743" s="58"/>
      <c r="C743" s="59"/>
      <c r="D743" s="59"/>
      <c r="E743" s="60"/>
      <c r="F743" s="61"/>
      <c r="G743" s="62"/>
      <c r="H743"/>
      <c r="I743" s="78"/>
      <c r="J743" s="91"/>
      <c r="K743" s="106"/>
      <c r="L743" s="104"/>
      <c r="M743" s="67"/>
      <c r="N743" s="77"/>
    </row>
    <row r="744" spans="2:14" x14ac:dyDescent="0.35">
      <c r="B744" s="58"/>
      <c r="C744" s="59"/>
      <c r="D744" s="59"/>
      <c r="E744" s="60"/>
      <c r="F744" s="61"/>
      <c r="G744" s="62"/>
      <c r="H744"/>
      <c r="I744" s="78"/>
      <c r="J744" s="91"/>
      <c r="K744" s="106"/>
      <c r="L744" s="98"/>
      <c r="M744" s="67"/>
      <c r="N744" s="77"/>
    </row>
    <row r="745" spans="2:14" x14ac:dyDescent="0.35">
      <c r="B745" s="58"/>
      <c r="C745" s="59"/>
      <c r="D745" s="59"/>
      <c r="E745" s="60"/>
      <c r="F745" s="61"/>
      <c r="G745" s="62"/>
      <c r="H745"/>
      <c r="I745" s="78"/>
      <c r="J745" s="91"/>
      <c r="K745" s="106"/>
      <c r="L745" s="98"/>
      <c r="M745" s="67"/>
      <c r="N745" s="77"/>
    </row>
    <row r="746" spans="2:14" x14ac:dyDescent="0.35">
      <c r="B746" s="58"/>
      <c r="C746" s="59"/>
      <c r="D746" s="59"/>
      <c r="E746" s="60"/>
      <c r="F746" s="61"/>
      <c r="G746" s="62"/>
      <c r="H746"/>
      <c r="I746" s="78"/>
      <c r="J746" s="91"/>
      <c r="K746" s="107"/>
      <c r="L746" s="99"/>
      <c r="M746" s="67"/>
      <c r="N746" s="77"/>
    </row>
    <row r="747" spans="2:14" x14ac:dyDescent="0.35">
      <c r="B747" s="58"/>
      <c r="C747" s="59"/>
      <c r="D747" s="59"/>
      <c r="E747" s="60"/>
      <c r="F747" s="61"/>
      <c r="G747" s="62"/>
      <c r="H747"/>
      <c r="I747" s="78"/>
      <c r="J747" s="91"/>
      <c r="K747" s="107"/>
      <c r="L747" s="99"/>
      <c r="M747" s="67"/>
      <c r="N747" s="77"/>
    </row>
    <row r="748" spans="2:14" x14ac:dyDescent="0.35">
      <c r="B748" s="58"/>
      <c r="C748" s="59"/>
      <c r="D748" s="59"/>
      <c r="E748" s="60"/>
      <c r="F748" s="61"/>
      <c r="G748" s="62"/>
      <c r="H748"/>
      <c r="I748" s="78"/>
      <c r="J748" s="91"/>
      <c r="K748" s="107"/>
      <c r="L748" s="99"/>
      <c r="M748" s="67"/>
      <c r="N748" s="77"/>
    </row>
    <row r="749" spans="2:14" x14ac:dyDescent="0.35">
      <c r="B749" s="58"/>
      <c r="C749" s="59"/>
      <c r="D749" s="59"/>
      <c r="E749" s="60"/>
      <c r="F749" s="61"/>
      <c r="G749" s="62"/>
      <c r="H749"/>
      <c r="I749" s="78"/>
      <c r="J749" s="91"/>
      <c r="K749" s="107"/>
      <c r="L749" s="99"/>
      <c r="M749" s="67"/>
      <c r="N749" s="77"/>
    </row>
    <row r="750" spans="2:14" x14ac:dyDescent="0.35">
      <c r="B750" s="58"/>
      <c r="C750" s="59"/>
      <c r="D750" s="59"/>
      <c r="E750" s="60"/>
      <c r="F750" s="61"/>
      <c r="G750" s="62"/>
      <c r="H750"/>
      <c r="I750" s="78"/>
      <c r="J750" s="91"/>
      <c r="K750" s="107"/>
      <c r="L750" s="99"/>
      <c r="M750" s="67"/>
      <c r="N750" s="77"/>
    </row>
    <row r="751" spans="2:14" x14ac:dyDescent="0.35">
      <c r="B751" s="58"/>
      <c r="C751" s="59"/>
      <c r="D751" s="59"/>
      <c r="E751" s="60"/>
      <c r="F751" s="61"/>
      <c r="G751" s="62"/>
      <c r="H751"/>
      <c r="I751" s="78"/>
      <c r="J751" s="91"/>
      <c r="K751" s="106"/>
      <c r="L751" s="98"/>
      <c r="M751" s="67"/>
      <c r="N751" s="77"/>
    </row>
    <row r="752" spans="2:14" x14ac:dyDescent="0.35">
      <c r="B752" s="58"/>
      <c r="C752" s="59"/>
      <c r="D752" s="59"/>
      <c r="E752" s="60"/>
      <c r="F752" s="61"/>
      <c r="G752" s="62"/>
      <c r="H752"/>
      <c r="I752" s="78"/>
      <c r="J752" s="91"/>
      <c r="K752" s="106"/>
      <c r="L752" s="98"/>
      <c r="M752" s="67"/>
      <c r="N752" s="77"/>
    </row>
    <row r="753" spans="2:14" x14ac:dyDescent="0.35">
      <c r="B753" s="58"/>
      <c r="C753" s="59"/>
      <c r="D753" s="59"/>
      <c r="E753" s="60"/>
      <c r="F753" s="61"/>
      <c r="G753" s="62"/>
      <c r="H753"/>
      <c r="I753" s="78"/>
      <c r="J753" s="76"/>
      <c r="K753" s="107"/>
      <c r="L753" s="99"/>
      <c r="M753" s="67"/>
      <c r="N753" s="77"/>
    </row>
    <row r="754" spans="2:14" x14ac:dyDescent="0.35">
      <c r="B754" s="58"/>
      <c r="C754" s="59"/>
      <c r="D754" s="59"/>
      <c r="E754" s="60"/>
      <c r="F754" s="61"/>
      <c r="G754" s="62"/>
      <c r="H754"/>
      <c r="I754" s="78"/>
      <c r="J754" s="109"/>
      <c r="K754" s="106"/>
      <c r="L754" s="98"/>
      <c r="M754" s="67"/>
      <c r="N754" s="77"/>
    </row>
    <row r="755" spans="2:14" x14ac:dyDescent="0.35">
      <c r="B755" s="58"/>
      <c r="C755" s="59"/>
      <c r="D755" s="59"/>
      <c r="E755" s="60"/>
      <c r="F755" s="61"/>
      <c r="G755" s="62"/>
      <c r="H755"/>
      <c r="I755" s="78"/>
      <c r="J755" s="76"/>
      <c r="K755" s="107"/>
      <c r="L755" s="99"/>
      <c r="M755" s="67"/>
      <c r="N755" s="77"/>
    </row>
    <row r="756" spans="2:14" x14ac:dyDescent="0.35">
      <c r="B756" s="58"/>
      <c r="C756" s="59"/>
      <c r="D756" s="59"/>
      <c r="E756" s="60"/>
      <c r="F756" s="61"/>
      <c r="G756" s="62"/>
      <c r="H756"/>
      <c r="I756" s="78"/>
      <c r="J756" s="109"/>
      <c r="K756" s="107"/>
      <c r="L756" s="99"/>
      <c r="M756" s="67"/>
      <c r="N756" s="77"/>
    </row>
    <row r="757" spans="2:14" x14ac:dyDescent="0.35">
      <c r="B757" s="58"/>
      <c r="C757" s="59"/>
      <c r="D757" s="59"/>
      <c r="E757" s="60"/>
      <c r="F757" s="61"/>
      <c r="G757" s="62"/>
      <c r="H757"/>
      <c r="I757" s="78"/>
      <c r="J757" s="109"/>
      <c r="K757" s="107"/>
      <c r="L757" s="99"/>
      <c r="M757" s="67"/>
      <c r="N757" s="77"/>
    </row>
    <row r="758" spans="2:14" x14ac:dyDescent="0.35">
      <c r="B758" s="58"/>
      <c r="C758" s="59"/>
      <c r="D758" s="59"/>
      <c r="E758" s="60"/>
      <c r="F758" s="61"/>
      <c r="G758" s="62"/>
      <c r="H758"/>
      <c r="I758" s="78"/>
      <c r="J758" s="109"/>
      <c r="K758" s="107"/>
      <c r="L758" s="99"/>
      <c r="M758" s="67"/>
      <c r="N758" s="77"/>
    </row>
    <row r="759" spans="2:14" x14ac:dyDescent="0.35">
      <c r="B759" s="58"/>
      <c r="C759" s="59"/>
      <c r="D759" s="59"/>
      <c r="E759" s="60"/>
      <c r="F759" s="61"/>
      <c r="G759" s="62"/>
      <c r="H759"/>
      <c r="I759" s="78"/>
      <c r="J759" s="109"/>
      <c r="K759" s="106"/>
      <c r="L759" s="98"/>
      <c r="M759" s="67"/>
      <c r="N759" s="77"/>
    </row>
    <row r="760" spans="2:14" x14ac:dyDescent="0.35">
      <c r="B760" s="58"/>
      <c r="C760" s="59"/>
      <c r="D760" s="59"/>
      <c r="E760" s="60"/>
      <c r="F760" s="61"/>
      <c r="G760" s="62"/>
      <c r="H760"/>
      <c r="I760" s="78"/>
      <c r="J760" s="109"/>
      <c r="K760" s="106"/>
      <c r="L760" s="98"/>
      <c r="M760" s="67"/>
      <c r="N760" s="77"/>
    </row>
    <row r="761" spans="2:14" x14ac:dyDescent="0.35">
      <c r="B761" s="58"/>
      <c r="C761" s="59"/>
      <c r="D761" s="59"/>
      <c r="E761" s="60"/>
      <c r="F761" s="61"/>
      <c r="G761" s="62"/>
      <c r="H761"/>
      <c r="I761" s="78"/>
      <c r="J761" s="109"/>
      <c r="K761" s="106"/>
      <c r="L761" s="98"/>
      <c r="M761" s="67"/>
      <c r="N761" s="77"/>
    </row>
    <row r="762" spans="2:14" x14ac:dyDescent="0.35">
      <c r="B762" s="58"/>
      <c r="C762" s="59"/>
      <c r="D762" s="59"/>
      <c r="E762" s="60"/>
      <c r="F762" s="61"/>
      <c r="G762" s="62"/>
      <c r="H762"/>
      <c r="I762" s="78"/>
      <c r="J762" s="109"/>
      <c r="K762" s="106"/>
      <c r="L762" s="98"/>
      <c r="M762" s="67"/>
      <c r="N762" s="77"/>
    </row>
    <row r="763" spans="2:14" x14ac:dyDescent="0.35">
      <c r="B763" s="58"/>
      <c r="C763" s="59"/>
      <c r="D763" s="59"/>
      <c r="E763" s="60"/>
      <c r="F763" s="61"/>
      <c r="G763" s="62"/>
      <c r="H763"/>
      <c r="I763" s="78"/>
      <c r="J763" s="109"/>
      <c r="K763" s="106"/>
      <c r="L763" s="98"/>
      <c r="M763" s="67"/>
      <c r="N763" s="77"/>
    </row>
    <row r="764" spans="2:14" x14ac:dyDescent="0.35">
      <c r="B764" s="58"/>
      <c r="C764" s="59"/>
      <c r="D764" s="59"/>
      <c r="E764" s="60"/>
      <c r="F764" s="61"/>
      <c r="G764" s="62"/>
      <c r="H764"/>
      <c r="I764" s="78"/>
      <c r="J764" s="109"/>
      <c r="K764" s="106"/>
      <c r="L764" s="98"/>
      <c r="M764" s="67"/>
      <c r="N764" s="77"/>
    </row>
    <row r="765" spans="2:14" x14ac:dyDescent="0.35">
      <c r="B765" s="58"/>
      <c r="C765" s="59"/>
      <c r="D765" s="59"/>
      <c r="E765" s="60"/>
      <c r="F765" s="61"/>
      <c r="G765" s="62"/>
      <c r="H765"/>
      <c r="I765" s="78"/>
      <c r="J765" s="109"/>
      <c r="K765" s="106"/>
      <c r="L765" s="98"/>
      <c r="M765" s="67"/>
      <c r="N765" s="77"/>
    </row>
    <row r="766" spans="2:14" x14ac:dyDescent="0.35">
      <c r="B766" s="58"/>
      <c r="C766" s="59"/>
      <c r="D766" s="59"/>
      <c r="E766" s="60"/>
      <c r="F766" s="61"/>
      <c r="G766" s="62"/>
      <c r="H766"/>
      <c r="I766" s="78"/>
      <c r="J766" s="76"/>
      <c r="K766" s="107"/>
      <c r="L766" s="99"/>
      <c r="M766" s="67"/>
      <c r="N766" s="77"/>
    </row>
    <row r="767" spans="2:14" x14ac:dyDescent="0.35">
      <c r="B767" s="58"/>
      <c r="C767" s="59"/>
      <c r="D767" s="59"/>
      <c r="E767" s="60"/>
      <c r="F767" s="61"/>
      <c r="G767" s="62"/>
      <c r="H767"/>
      <c r="I767" s="78"/>
      <c r="J767" s="76"/>
      <c r="K767" s="107"/>
      <c r="L767" s="99"/>
      <c r="M767" s="67"/>
      <c r="N767" s="77"/>
    </row>
    <row r="768" spans="2:14" x14ac:dyDescent="0.35">
      <c r="B768" s="58"/>
      <c r="C768" s="59"/>
      <c r="D768" s="59"/>
      <c r="E768" s="60"/>
      <c r="F768" s="61"/>
      <c r="G768" s="62"/>
      <c r="H768"/>
      <c r="I768" s="78"/>
      <c r="J768" s="76"/>
      <c r="K768" s="107"/>
      <c r="L768" s="99"/>
      <c r="M768" s="67"/>
      <c r="N768" s="77"/>
    </row>
    <row r="769" spans="2:14" x14ac:dyDescent="0.35">
      <c r="B769" s="58"/>
      <c r="C769" s="59"/>
      <c r="D769" s="59"/>
      <c r="E769" s="60"/>
      <c r="F769" s="61"/>
      <c r="G769" s="62"/>
      <c r="H769"/>
      <c r="I769" s="78"/>
      <c r="J769" s="76"/>
      <c r="K769" s="107"/>
      <c r="L769" s="99"/>
      <c r="M769" s="67"/>
      <c r="N769" s="77"/>
    </row>
    <row r="770" spans="2:14" x14ac:dyDescent="0.35">
      <c r="B770" s="58"/>
      <c r="C770" s="59"/>
      <c r="D770" s="59"/>
      <c r="E770" s="60"/>
      <c r="F770" s="61"/>
      <c r="G770" s="62"/>
      <c r="H770"/>
      <c r="I770" s="78"/>
      <c r="J770" s="76"/>
      <c r="K770" s="107"/>
      <c r="L770" s="99"/>
      <c r="M770" s="67"/>
      <c r="N770" s="77"/>
    </row>
    <row r="771" spans="2:14" x14ac:dyDescent="0.35">
      <c r="B771" s="58"/>
      <c r="C771" s="59"/>
      <c r="D771" s="59"/>
      <c r="E771" s="60"/>
      <c r="F771" s="61"/>
      <c r="G771" s="62"/>
      <c r="H771"/>
      <c r="I771" s="78"/>
      <c r="J771" s="109"/>
      <c r="K771" s="107"/>
      <c r="L771" s="99"/>
      <c r="M771" s="67"/>
      <c r="N771" s="77"/>
    </row>
    <row r="772" spans="2:14" x14ac:dyDescent="0.35">
      <c r="B772" s="58"/>
      <c r="C772" s="59"/>
      <c r="D772" s="59"/>
      <c r="E772" s="60"/>
      <c r="F772" s="61"/>
      <c r="G772" s="62"/>
      <c r="H772"/>
      <c r="I772" s="78"/>
      <c r="J772" s="76"/>
      <c r="K772" s="107"/>
      <c r="L772" s="99"/>
      <c r="M772" s="67"/>
      <c r="N772" s="77"/>
    </row>
    <row r="773" spans="2:14" x14ac:dyDescent="0.35">
      <c r="B773" s="58"/>
      <c r="C773" s="59"/>
      <c r="D773" s="59"/>
      <c r="E773" s="60"/>
      <c r="F773" s="61"/>
      <c r="G773" s="62"/>
      <c r="H773"/>
      <c r="I773" s="78"/>
      <c r="J773" s="109"/>
      <c r="K773" s="107"/>
      <c r="L773" s="99"/>
      <c r="M773" s="67"/>
      <c r="N773" s="77"/>
    </row>
    <row r="774" spans="2:14" x14ac:dyDescent="0.35">
      <c r="B774" s="58"/>
      <c r="C774" s="59"/>
      <c r="D774" s="59"/>
      <c r="E774" s="60"/>
      <c r="F774" s="61"/>
      <c r="G774" s="62"/>
      <c r="H774"/>
      <c r="I774" s="78"/>
      <c r="J774" s="109"/>
      <c r="K774" s="106"/>
      <c r="L774" s="98"/>
      <c r="M774" s="67"/>
      <c r="N774" s="77"/>
    </row>
    <row r="775" spans="2:14" x14ac:dyDescent="0.35">
      <c r="B775" s="58"/>
      <c r="C775" s="59"/>
      <c r="D775" s="59"/>
      <c r="E775" s="60"/>
      <c r="F775" s="61"/>
      <c r="G775" s="62"/>
      <c r="H775"/>
      <c r="I775" s="78"/>
      <c r="J775" s="109"/>
      <c r="K775" s="106"/>
      <c r="L775" s="98"/>
      <c r="M775" s="67"/>
      <c r="N775" s="77"/>
    </row>
    <row r="776" spans="2:14" x14ac:dyDescent="0.35">
      <c r="B776" s="58"/>
      <c r="C776" s="59"/>
      <c r="D776" s="59"/>
      <c r="E776" s="60"/>
      <c r="F776" s="61"/>
      <c r="G776" s="62"/>
      <c r="H776"/>
      <c r="I776" s="78"/>
      <c r="J776" s="109"/>
      <c r="K776" s="106"/>
      <c r="L776" s="98"/>
      <c r="M776" s="67"/>
      <c r="N776" s="77"/>
    </row>
    <row r="777" spans="2:14" x14ac:dyDescent="0.35">
      <c r="B777" s="58"/>
      <c r="C777" s="59"/>
      <c r="D777" s="59"/>
      <c r="E777" s="60"/>
      <c r="F777" s="61"/>
      <c r="G777" s="62"/>
      <c r="H777"/>
      <c r="I777" s="78"/>
      <c r="J777" s="109"/>
      <c r="K777" s="106"/>
      <c r="L777" s="98"/>
      <c r="M777" s="67"/>
      <c r="N777" s="77"/>
    </row>
    <row r="778" spans="2:14" x14ac:dyDescent="0.35">
      <c r="B778" s="58"/>
      <c r="C778" s="59"/>
      <c r="D778" s="59"/>
      <c r="E778" s="60"/>
      <c r="F778" s="61"/>
      <c r="G778" s="62"/>
      <c r="H778"/>
      <c r="I778" s="78"/>
      <c r="J778" s="76"/>
      <c r="K778" s="107"/>
      <c r="L778" s="99"/>
      <c r="M778" s="67"/>
      <c r="N778" s="77"/>
    </row>
    <row r="779" spans="2:14" x14ac:dyDescent="0.35">
      <c r="B779" s="58"/>
      <c r="C779" s="59"/>
      <c r="D779" s="59"/>
      <c r="E779" s="60"/>
      <c r="F779" s="61"/>
      <c r="G779" s="62"/>
      <c r="H779"/>
      <c r="I779" s="78"/>
      <c r="J779" s="109"/>
      <c r="K779" s="106"/>
      <c r="L779" s="98"/>
      <c r="M779" s="83"/>
      <c r="N779" s="77"/>
    </row>
    <row r="780" spans="2:14" x14ac:dyDescent="0.35">
      <c r="B780" s="58"/>
      <c r="C780" s="59"/>
      <c r="D780" s="59"/>
      <c r="E780" s="60"/>
      <c r="F780" s="61"/>
      <c r="G780" s="62"/>
      <c r="H780"/>
      <c r="I780" s="78"/>
      <c r="J780" s="109"/>
      <c r="K780" s="106"/>
      <c r="L780" s="98"/>
      <c r="M780" s="83"/>
      <c r="N780" s="77"/>
    </row>
    <row r="781" spans="2:14" x14ac:dyDescent="0.35">
      <c r="B781" s="58"/>
      <c r="C781" s="59"/>
      <c r="D781" s="59"/>
      <c r="E781" s="60"/>
      <c r="F781" s="61"/>
      <c r="G781" s="62"/>
      <c r="H781"/>
      <c r="I781" s="78"/>
      <c r="J781" s="109"/>
      <c r="K781" s="106"/>
      <c r="L781" s="98"/>
      <c r="M781" s="67"/>
      <c r="N781" s="77"/>
    </row>
    <row r="782" spans="2:14" x14ac:dyDescent="0.35">
      <c r="B782" s="58"/>
      <c r="C782" s="59"/>
      <c r="D782" s="59"/>
      <c r="E782" s="60"/>
      <c r="F782" s="61"/>
      <c r="G782" s="62"/>
      <c r="H782"/>
      <c r="I782" s="78"/>
      <c r="J782" s="109"/>
      <c r="K782" s="106"/>
      <c r="L782" s="98"/>
      <c r="M782" s="67"/>
      <c r="N782" s="77"/>
    </row>
    <row r="783" spans="2:14" x14ac:dyDescent="0.35">
      <c r="B783" s="58"/>
      <c r="C783" s="59"/>
      <c r="D783" s="59"/>
      <c r="E783" s="60"/>
      <c r="F783" s="61"/>
      <c r="G783" s="62"/>
      <c r="H783"/>
      <c r="I783" s="78"/>
      <c r="J783" s="109"/>
      <c r="K783" s="106"/>
      <c r="L783" s="98"/>
      <c r="M783" s="67"/>
      <c r="N783" s="77"/>
    </row>
    <row r="784" spans="2:14" x14ac:dyDescent="0.35">
      <c r="B784" s="58"/>
      <c r="C784" s="59"/>
      <c r="D784" s="59"/>
      <c r="E784" s="60"/>
      <c r="F784" s="61"/>
      <c r="G784" s="62"/>
      <c r="H784"/>
      <c r="I784" s="78"/>
      <c r="J784" s="109"/>
      <c r="K784" s="106"/>
      <c r="L784" s="98"/>
      <c r="M784" s="67"/>
      <c r="N784" s="77"/>
    </row>
    <row r="785" spans="2:14" x14ac:dyDescent="0.35">
      <c r="B785" s="58"/>
      <c r="C785" s="59"/>
      <c r="D785" s="59"/>
      <c r="E785" s="60"/>
      <c r="F785" s="61"/>
      <c r="G785" s="62"/>
      <c r="H785"/>
      <c r="I785" s="78"/>
      <c r="J785" s="109"/>
      <c r="K785" s="107"/>
      <c r="L785" s="99"/>
      <c r="M785" s="67"/>
      <c r="N785" s="77"/>
    </row>
    <row r="786" spans="2:14" x14ac:dyDescent="0.35">
      <c r="B786" s="58"/>
      <c r="C786" s="59"/>
      <c r="D786" s="59"/>
      <c r="E786" s="60"/>
      <c r="F786" s="61"/>
      <c r="G786" s="62"/>
      <c r="H786"/>
      <c r="I786" s="78"/>
      <c r="J786" s="109"/>
      <c r="K786" s="106"/>
      <c r="L786" s="98"/>
      <c r="M786" s="67"/>
      <c r="N786" s="77"/>
    </row>
    <row r="787" spans="2:14" x14ac:dyDescent="0.35">
      <c r="B787" s="58"/>
      <c r="C787" s="59"/>
      <c r="D787" s="59"/>
      <c r="E787" s="60"/>
      <c r="F787" s="61"/>
      <c r="G787" s="62"/>
      <c r="H787"/>
      <c r="I787" s="78"/>
      <c r="J787" s="109"/>
      <c r="K787" s="106"/>
      <c r="L787" s="98"/>
      <c r="M787" s="67"/>
      <c r="N787" s="77"/>
    </row>
    <row r="788" spans="2:14" x14ac:dyDescent="0.35">
      <c r="B788" s="58"/>
      <c r="C788" s="59"/>
      <c r="D788" s="59"/>
      <c r="E788" s="60"/>
      <c r="F788" s="61"/>
      <c r="G788" s="62"/>
      <c r="H788"/>
      <c r="I788" s="78"/>
      <c r="J788" s="109"/>
      <c r="K788" s="106"/>
      <c r="L788" s="98"/>
      <c r="M788" s="67"/>
      <c r="N788" s="77"/>
    </row>
    <row r="789" spans="2:14" x14ac:dyDescent="0.35">
      <c r="B789" s="58"/>
      <c r="C789" s="59"/>
      <c r="D789" s="59"/>
      <c r="E789" s="60"/>
      <c r="F789" s="61"/>
      <c r="G789" s="62"/>
      <c r="H789"/>
      <c r="I789" s="78"/>
      <c r="J789" s="109"/>
      <c r="K789" s="106"/>
      <c r="L789" s="98"/>
      <c r="M789" s="67"/>
      <c r="N789" s="77"/>
    </row>
    <row r="790" spans="2:14" x14ac:dyDescent="0.35">
      <c r="B790" s="58"/>
      <c r="C790" s="59"/>
      <c r="D790" s="59"/>
      <c r="E790" s="60"/>
      <c r="F790" s="61"/>
      <c r="G790" s="62"/>
      <c r="H790"/>
      <c r="I790" s="78"/>
      <c r="J790" s="109"/>
      <c r="K790" s="106"/>
      <c r="L790" s="98"/>
      <c r="M790" s="67"/>
      <c r="N790" s="77"/>
    </row>
    <row r="791" spans="2:14" x14ac:dyDescent="0.35">
      <c r="B791" s="58"/>
      <c r="C791" s="59"/>
      <c r="D791" s="59"/>
      <c r="E791" s="60"/>
      <c r="F791" s="61"/>
      <c r="G791" s="62"/>
      <c r="H791"/>
      <c r="I791" s="78"/>
      <c r="J791" s="109"/>
      <c r="K791" s="106"/>
      <c r="L791" s="98"/>
      <c r="M791" s="67"/>
      <c r="N791" s="77"/>
    </row>
    <row r="792" spans="2:14" x14ac:dyDescent="0.35">
      <c r="B792" s="58"/>
      <c r="C792" s="59"/>
      <c r="D792" s="59"/>
      <c r="E792" s="60"/>
      <c r="F792" s="61"/>
      <c r="G792" s="62"/>
      <c r="H792"/>
      <c r="I792" s="78"/>
      <c r="J792" s="109"/>
      <c r="K792" s="107"/>
      <c r="L792" s="99"/>
      <c r="M792" s="67"/>
      <c r="N792" s="77"/>
    </row>
    <row r="793" spans="2:14" x14ac:dyDescent="0.35">
      <c r="B793" s="58"/>
      <c r="C793" s="59"/>
      <c r="D793" s="59"/>
      <c r="E793" s="60"/>
      <c r="F793" s="61"/>
      <c r="G793" s="62"/>
      <c r="H793"/>
      <c r="I793" s="78"/>
      <c r="J793" s="109"/>
      <c r="K793" s="107"/>
      <c r="L793" s="99"/>
      <c r="M793" s="67"/>
      <c r="N793" s="77"/>
    </row>
    <row r="794" spans="2:14" x14ac:dyDescent="0.35">
      <c r="B794" s="58"/>
      <c r="C794" s="59"/>
      <c r="D794" s="59"/>
      <c r="E794" s="60"/>
      <c r="F794" s="61"/>
      <c r="G794" s="62"/>
      <c r="H794"/>
      <c r="I794" s="78"/>
      <c r="J794" s="109"/>
      <c r="K794" s="107"/>
      <c r="L794" s="99"/>
      <c r="M794" s="67"/>
      <c r="N794" s="77"/>
    </row>
    <row r="795" spans="2:14" x14ac:dyDescent="0.35">
      <c r="B795" s="58"/>
      <c r="C795" s="59"/>
      <c r="D795" s="59"/>
      <c r="E795" s="60"/>
      <c r="F795" s="61"/>
      <c r="G795" s="62"/>
      <c r="H795"/>
      <c r="I795" s="78"/>
      <c r="J795" s="109"/>
      <c r="K795" s="107"/>
      <c r="L795" s="99"/>
      <c r="M795" s="67"/>
      <c r="N795" s="77"/>
    </row>
    <row r="796" spans="2:14" x14ac:dyDescent="0.35">
      <c r="B796" s="58"/>
      <c r="C796" s="59"/>
      <c r="D796" s="59"/>
      <c r="E796" s="60"/>
      <c r="F796" s="61"/>
      <c r="G796" s="62"/>
      <c r="H796"/>
      <c r="I796" s="78"/>
      <c r="J796" s="76"/>
      <c r="K796" s="107"/>
      <c r="L796" s="99"/>
      <c r="M796" s="67"/>
      <c r="N796" s="77"/>
    </row>
    <row r="797" spans="2:14" x14ac:dyDescent="0.35">
      <c r="B797" s="58"/>
      <c r="C797" s="59"/>
      <c r="D797" s="59"/>
      <c r="E797" s="60"/>
      <c r="F797" s="61"/>
      <c r="G797" s="62"/>
      <c r="H797"/>
      <c r="I797" s="78"/>
      <c r="J797" s="76"/>
      <c r="K797" s="107"/>
      <c r="L797" s="99"/>
      <c r="M797" s="67"/>
      <c r="N797" s="77"/>
    </row>
    <row r="798" spans="2:14" x14ac:dyDescent="0.35">
      <c r="B798" s="58"/>
      <c r="C798" s="59"/>
      <c r="D798" s="59"/>
      <c r="E798" s="60"/>
      <c r="F798" s="61"/>
      <c r="G798" s="62"/>
      <c r="H798"/>
      <c r="I798" s="78"/>
      <c r="J798" s="109"/>
      <c r="K798" s="106"/>
      <c r="L798" s="98"/>
      <c r="M798" s="67"/>
      <c r="N798" s="77"/>
    </row>
    <row r="799" spans="2:14" x14ac:dyDescent="0.35">
      <c r="B799" s="58"/>
      <c r="C799" s="59"/>
      <c r="D799" s="59"/>
      <c r="E799" s="60"/>
      <c r="F799" s="61"/>
      <c r="G799" s="62"/>
      <c r="H799"/>
      <c r="I799" s="78"/>
      <c r="J799" s="109"/>
      <c r="K799" s="106"/>
      <c r="L799" s="98"/>
      <c r="M799" s="83"/>
      <c r="N799" s="77"/>
    </row>
    <row r="800" spans="2:14" x14ac:dyDescent="0.35">
      <c r="B800" s="58"/>
      <c r="C800" s="59"/>
      <c r="D800" s="59"/>
      <c r="E800" s="60"/>
      <c r="F800" s="61"/>
      <c r="G800" s="62"/>
      <c r="H800"/>
      <c r="I800" s="78"/>
      <c r="J800" s="109"/>
      <c r="K800" s="106"/>
      <c r="L800" s="98"/>
      <c r="M800" s="83"/>
      <c r="N800" s="77"/>
    </row>
    <row r="801" spans="2:14" x14ac:dyDescent="0.35">
      <c r="B801" s="58"/>
      <c r="C801" s="59"/>
      <c r="D801" s="59"/>
      <c r="E801" s="60"/>
      <c r="F801" s="61"/>
      <c r="G801" s="62"/>
      <c r="H801"/>
      <c r="I801" s="78"/>
      <c r="J801" s="109"/>
      <c r="K801" s="106"/>
      <c r="L801" s="98"/>
      <c r="M801" s="83"/>
      <c r="N801" s="77"/>
    </row>
    <row r="802" spans="2:14" x14ac:dyDescent="0.35">
      <c r="B802" s="58"/>
      <c r="C802" s="59"/>
      <c r="D802" s="59"/>
      <c r="E802" s="60"/>
      <c r="F802" s="61"/>
      <c r="G802" s="62"/>
      <c r="H802"/>
      <c r="I802" s="78"/>
      <c r="J802" s="109"/>
      <c r="K802" s="106"/>
      <c r="L802" s="98"/>
      <c r="M802" s="67"/>
      <c r="N802" s="77"/>
    </row>
    <row r="803" spans="2:14" x14ac:dyDescent="0.35">
      <c r="B803" s="58"/>
      <c r="C803" s="59"/>
      <c r="D803" s="59"/>
      <c r="E803" s="60"/>
      <c r="F803" s="61"/>
      <c r="G803" s="62"/>
      <c r="H803"/>
      <c r="I803" s="78"/>
      <c r="J803" s="109"/>
      <c r="K803" s="106"/>
      <c r="L803" s="98"/>
      <c r="M803" s="67"/>
      <c r="N803" s="77"/>
    </row>
    <row r="804" spans="2:14" x14ac:dyDescent="0.35">
      <c r="B804" s="58"/>
      <c r="C804" s="59"/>
      <c r="D804" s="59"/>
      <c r="E804" s="60"/>
      <c r="F804" s="61"/>
      <c r="G804" s="62"/>
      <c r="H804"/>
      <c r="I804" s="78"/>
      <c r="J804" s="109"/>
      <c r="K804" s="106"/>
      <c r="L804" s="98"/>
      <c r="M804" s="67"/>
      <c r="N804" s="77"/>
    </row>
    <row r="805" spans="2:14" x14ac:dyDescent="0.35">
      <c r="B805" s="58"/>
      <c r="C805" s="59"/>
      <c r="D805" s="59"/>
      <c r="E805" s="60"/>
      <c r="F805" s="61"/>
      <c r="G805" s="62"/>
      <c r="H805"/>
      <c r="I805" s="78"/>
      <c r="J805" s="109"/>
      <c r="K805" s="106"/>
      <c r="L805" s="98"/>
      <c r="M805" s="67"/>
      <c r="N805" s="77"/>
    </row>
    <row r="806" spans="2:14" x14ac:dyDescent="0.35">
      <c r="B806" s="58"/>
      <c r="C806" s="59"/>
      <c r="D806" s="59"/>
      <c r="E806" s="60"/>
      <c r="F806" s="61"/>
      <c r="G806" s="62"/>
      <c r="H806"/>
      <c r="I806" s="78"/>
      <c r="J806" s="109"/>
      <c r="K806" s="106"/>
      <c r="L806" s="98"/>
      <c r="M806" s="67"/>
      <c r="N806" s="77"/>
    </row>
    <row r="807" spans="2:14" x14ac:dyDescent="0.35">
      <c r="B807" s="58"/>
      <c r="C807" s="59"/>
      <c r="D807" s="59"/>
      <c r="E807" s="60"/>
      <c r="F807" s="61"/>
      <c r="G807" s="62"/>
      <c r="H807"/>
      <c r="I807" s="78"/>
      <c r="J807" s="109"/>
      <c r="K807" s="106"/>
      <c r="L807" s="98"/>
      <c r="M807" s="67"/>
      <c r="N807" s="77"/>
    </row>
    <row r="808" spans="2:14" x14ac:dyDescent="0.35">
      <c r="B808" s="58"/>
      <c r="C808" s="59"/>
      <c r="D808" s="59"/>
      <c r="E808" s="60"/>
      <c r="F808" s="61"/>
      <c r="G808" s="62"/>
      <c r="H808"/>
      <c r="I808" s="78"/>
      <c r="J808" s="109"/>
      <c r="K808" s="106"/>
      <c r="L808" s="98"/>
      <c r="M808" s="67"/>
      <c r="N808" s="77"/>
    </row>
    <row r="809" spans="2:14" x14ac:dyDescent="0.35">
      <c r="B809" s="58"/>
      <c r="C809" s="59"/>
      <c r="D809" s="59"/>
      <c r="E809" s="60"/>
      <c r="F809" s="61"/>
      <c r="G809" s="62"/>
      <c r="H809"/>
      <c r="I809" s="78"/>
      <c r="J809" s="109"/>
      <c r="K809" s="106"/>
      <c r="L809" s="98"/>
      <c r="M809" s="67"/>
      <c r="N809" s="77"/>
    </row>
    <row r="810" spans="2:14" x14ac:dyDescent="0.35">
      <c r="B810" s="58"/>
      <c r="C810" s="59"/>
      <c r="D810" s="59"/>
      <c r="E810" s="60"/>
      <c r="F810" s="61"/>
      <c r="G810" s="62"/>
      <c r="H810"/>
      <c r="I810" s="78"/>
      <c r="J810" s="109"/>
      <c r="K810" s="106"/>
      <c r="L810" s="98"/>
      <c r="M810" s="67"/>
      <c r="N810" s="77"/>
    </row>
    <row r="811" spans="2:14" x14ac:dyDescent="0.35">
      <c r="B811" s="58"/>
      <c r="C811" s="59"/>
      <c r="D811" s="59"/>
      <c r="E811" s="60"/>
      <c r="F811" s="61"/>
      <c r="G811" s="62"/>
      <c r="H811"/>
      <c r="I811" s="78"/>
      <c r="J811" s="109"/>
      <c r="K811" s="107"/>
      <c r="L811" s="98"/>
      <c r="M811" s="67"/>
      <c r="N811" s="77"/>
    </row>
    <row r="812" spans="2:14" x14ac:dyDescent="0.35">
      <c r="B812" s="58"/>
      <c r="C812" s="59"/>
      <c r="D812" s="59"/>
      <c r="E812" s="60"/>
      <c r="F812" s="61"/>
      <c r="G812" s="62"/>
      <c r="H812"/>
      <c r="I812" s="78"/>
      <c r="J812" s="109"/>
      <c r="K812" s="106"/>
      <c r="L812" s="98"/>
      <c r="M812" s="67"/>
      <c r="N812" s="77"/>
    </row>
    <row r="813" spans="2:14" x14ac:dyDescent="0.35">
      <c r="B813" s="58"/>
      <c r="C813" s="59"/>
      <c r="D813" s="59"/>
      <c r="E813" s="60"/>
      <c r="F813" s="61"/>
      <c r="G813" s="62"/>
      <c r="H813"/>
      <c r="I813" s="78"/>
      <c r="J813" s="109"/>
      <c r="K813" s="106"/>
      <c r="L813" s="98"/>
      <c r="M813" s="67"/>
      <c r="N813" s="77"/>
    </row>
    <row r="814" spans="2:14" x14ac:dyDescent="0.35">
      <c r="B814" s="58"/>
      <c r="C814" s="59"/>
      <c r="D814" s="59"/>
      <c r="E814" s="60"/>
      <c r="F814" s="61"/>
      <c r="G814" s="62"/>
      <c r="H814"/>
      <c r="I814" s="78"/>
      <c r="J814" s="109"/>
      <c r="K814" s="106"/>
      <c r="L814" s="98"/>
      <c r="M814" s="67"/>
      <c r="N814" s="77"/>
    </row>
    <row r="815" spans="2:14" x14ac:dyDescent="0.35">
      <c r="B815" s="58"/>
      <c r="C815" s="59"/>
      <c r="D815" s="59"/>
      <c r="E815" s="60"/>
      <c r="F815" s="61"/>
      <c r="G815" s="62"/>
      <c r="H815"/>
      <c r="I815" s="78"/>
      <c r="J815" s="109"/>
      <c r="K815" s="106"/>
      <c r="L815" s="98"/>
      <c r="M815" s="67"/>
      <c r="N815" s="77"/>
    </row>
    <row r="816" spans="2:14" x14ac:dyDescent="0.35">
      <c r="B816" s="58"/>
      <c r="C816" s="59"/>
      <c r="D816" s="59"/>
      <c r="E816" s="60"/>
      <c r="F816" s="61"/>
      <c r="G816" s="62"/>
      <c r="H816"/>
      <c r="I816" s="78"/>
      <c r="J816" s="109"/>
      <c r="K816" s="106"/>
      <c r="L816" s="98"/>
      <c r="M816" s="67"/>
      <c r="N816" s="77"/>
    </row>
    <row r="817" spans="2:14" x14ac:dyDescent="0.35">
      <c r="B817" s="58"/>
      <c r="C817" s="59"/>
      <c r="D817" s="59"/>
      <c r="E817" s="60"/>
      <c r="F817" s="61"/>
      <c r="G817" s="62"/>
      <c r="H817"/>
      <c r="I817" s="78"/>
      <c r="J817" s="109"/>
      <c r="K817" s="106"/>
      <c r="L817" s="98"/>
      <c r="M817" s="67"/>
      <c r="N817" s="77"/>
    </row>
    <row r="818" spans="2:14" x14ac:dyDescent="0.35">
      <c r="B818" s="58"/>
      <c r="C818" s="59"/>
      <c r="D818" s="59"/>
      <c r="E818" s="60"/>
      <c r="F818" s="61"/>
      <c r="G818" s="62"/>
      <c r="H818"/>
      <c r="I818" s="78"/>
      <c r="J818" s="109"/>
      <c r="K818" s="106"/>
      <c r="L818" s="98"/>
      <c r="M818" s="67"/>
      <c r="N818" s="77"/>
    </row>
    <row r="819" spans="2:14" x14ac:dyDescent="0.35">
      <c r="B819" s="58"/>
      <c r="C819" s="59"/>
      <c r="D819" s="59"/>
      <c r="E819" s="60"/>
      <c r="F819" s="61"/>
      <c r="G819" s="62"/>
      <c r="H819"/>
      <c r="I819" s="78"/>
      <c r="J819" s="109"/>
      <c r="K819" s="106"/>
      <c r="L819" s="98"/>
      <c r="M819" s="67"/>
      <c r="N819" s="77"/>
    </row>
    <row r="820" spans="2:14" x14ac:dyDescent="0.35">
      <c r="B820" s="58"/>
      <c r="C820" s="59"/>
      <c r="D820" s="59"/>
      <c r="E820" s="60"/>
      <c r="F820" s="61"/>
      <c r="G820" s="62"/>
      <c r="H820"/>
      <c r="I820" s="78"/>
      <c r="J820" s="76"/>
      <c r="K820" s="107"/>
      <c r="L820" s="99"/>
      <c r="M820" s="67"/>
      <c r="N820" s="77"/>
    </row>
    <row r="821" spans="2:14" x14ac:dyDescent="0.35">
      <c r="B821" s="58"/>
      <c r="C821" s="59"/>
      <c r="D821" s="59"/>
      <c r="E821" s="60"/>
      <c r="F821" s="61"/>
      <c r="G821" s="62"/>
      <c r="H821"/>
      <c r="I821" s="78"/>
      <c r="J821" s="76"/>
      <c r="K821" s="107"/>
      <c r="L821" s="99"/>
      <c r="M821" s="67"/>
      <c r="N821" s="77"/>
    </row>
    <row r="822" spans="2:14" x14ac:dyDescent="0.35">
      <c r="B822" s="58"/>
      <c r="C822" s="59"/>
      <c r="D822" s="59"/>
      <c r="E822" s="60"/>
      <c r="F822" s="61"/>
      <c r="G822" s="62"/>
      <c r="H822"/>
      <c r="I822" s="78"/>
      <c r="J822" s="76"/>
      <c r="K822" s="107"/>
      <c r="L822" s="99"/>
      <c r="M822" s="67"/>
      <c r="N822" s="77"/>
    </row>
    <row r="823" spans="2:14" x14ac:dyDescent="0.35">
      <c r="B823" s="58"/>
      <c r="C823" s="59"/>
      <c r="D823" s="59"/>
      <c r="E823" s="60"/>
      <c r="F823" s="61"/>
      <c r="G823" s="62"/>
      <c r="H823"/>
      <c r="I823" s="78"/>
      <c r="J823" s="109"/>
      <c r="K823" s="106"/>
      <c r="L823" s="98"/>
      <c r="M823" s="83"/>
      <c r="N823" s="77"/>
    </row>
    <row r="824" spans="2:14" x14ac:dyDescent="0.35">
      <c r="B824" s="58"/>
      <c r="C824" s="59"/>
      <c r="D824" s="59"/>
      <c r="E824" s="60"/>
      <c r="F824" s="61"/>
      <c r="G824" s="62"/>
      <c r="H824"/>
      <c r="I824" s="78"/>
      <c r="J824" s="109"/>
      <c r="K824" s="106"/>
      <c r="L824" s="98"/>
      <c r="M824" s="67"/>
      <c r="N824" s="77"/>
    </row>
    <row r="825" spans="2:14" x14ac:dyDescent="0.35">
      <c r="B825" s="58"/>
      <c r="C825" s="59"/>
      <c r="D825" s="59"/>
      <c r="E825" s="60"/>
      <c r="F825" s="61"/>
      <c r="G825" s="62"/>
      <c r="H825"/>
      <c r="I825" s="78"/>
      <c r="J825" s="76"/>
      <c r="K825" s="107"/>
      <c r="L825" s="99"/>
      <c r="M825" s="67"/>
      <c r="N825" s="77"/>
    </row>
    <row r="826" spans="2:14" x14ac:dyDescent="0.35">
      <c r="B826" s="58"/>
      <c r="C826" s="59"/>
      <c r="D826" s="59"/>
      <c r="E826" s="60"/>
      <c r="F826" s="61"/>
      <c r="G826" s="62"/>
      <c r="H826"/>
      <c r="I826" s="78"/>
      <c r="J826" s="76"/>
      <c r="K826" s="107"/>
      <c r="L826" s="99"/>
      <c r="M826" s="67"/>
      <c r="N826" s="77"/>
    </row>
    <row r="827" spans="2:14" x14ac:dyDescent="0.35">
      <c r="B827" s="58"/>
      <c r="C827" s="59"/>
      <c r="D827" s="59"/>
      <c r="E827" s="60"/>
      <c r="F827" s="61"/>
      <c r="G827" s="62"/>
      <c r="H827"/>
      <c r="I827" s="78"/>
      <c r="J827" s="109"/>
      <c r="K827" s="106"/>
      <c r="L827" s="98"/>
      <c r="M827" s="67"/>
      <c r="N827" s="77"/>
    </row>
    <row r="828" spans="2:14" x14ac:dyDescent="0.35">
      <c r="B828" s="58"/>
      <c r="C828" s="59"/>
      <c r="D828" s="59"/>
      <c r="E828" s="60"/>
      <c r="F828" s="61"/>
      <c r="G828" s="62"/>
      <c r="H828"/>
      <c r="I828" s="78"/>
      <c r="J828" s="109"/>
      <c r="K828" s="107"/>
      <c r="L828" s="99"/>
      <c r="M828" s="67"/>
      <c r="N828" s="77"/>
    </row>
    <row r="829" spans="2:14" x14ac:dyDescent="0.35">
      <c r="B829" s="58"/>
      <c r="C829" s="59"/>
      <c r="D829" s="59"/>
      <c r="E829" s="60"/>
      <c r="F829" s="61"/>
      <c r="G829" s="62"/>
      <c r="H829"/>
      <c r="I829" s="78"/>
      <c r="J829" s="109"/>
      <c r="K829" s="107"/>
      <c r="L829" s="99"/>
      <c r="M829" s="67"/>
      <c r="N829" s="77"/>
    </row>
    <row r="830" spans="2:14" x14ac:dyDescent="0.35">
      <c r="B830" s="58"/>
      <c r="C830" s="59"/>
      <c r="D830" s="59"/>
      <c r="E830" s="60"/>
      <c r="F830" s="61"/>
      <c r="G830" s="62"/>
      <c r="H830"/>
      <c r="I830" s="78"/>
      <c r="J830" s="109"/>
      <c r="K830" s="107"/>
      <c r="L830" s="99"/>
      <c r="M830" s="67"/>
      <c r="N830" s="77"/>
    </row>
    <row r="831" spans="2:14" x14ac:dyDescent="0.35">
      <c r="B831" s="58"/>
      <c r="C831" s="59"/>
      <c r="D831" s="59"/>
      <c r="E831" s="60"/>
      <c r="F831" s="61"/>
      <c r="G831" s="62"/>
      <c r="H831"/>
      <c r="I831" s="78"/>
      <c r="J831" s="109"/>
      <c r="K831" s="107"/>
      <c r="L831" s="99"/>
      <c r="M831" s="67"/>
      <c r="N831" s="77"/>
    </row>
    <row r="832" spans="2:14" x14ac:dyDescent="0.35">
      <c r="B832" s="58"/>
      <c r="C832" s="59"/>
      <c r="D832" s="59"/>
      <c r="E832" s="60"/>
      <c r="F832" s="61"/>
      <c r="G832" s="62"/>
      <c r="H832"/>
      <c r="I832" s="78"/>
      <c r="J832" s="76"/>
      <c r="K832" s="107"/>
      <c r="L832" s="99"/>
      <c r="M832" s="67"/>
      <c r="N832" s="77"/>
    </row>
    <row r="833" spans="2:14" x14ac:dyDescent="0.35">
      <c r="B833" s="58"/>
      <c r="C833" s="59"/>
      <c r="D833" s="59"/>
      <c r="E833" s="60"/>
      <c r="F833" s="61"/>
      <c r="G833" s="62"/>
      <c r="H833"/>
      <c r="I833" s="78"/>
      <c r="J833" s="76"/>
      <c r="K833" s="107"/>
      <c r="L833" s="99"/>
      <c r="M833" s="67"/>
      <c r="N833" s="77"/>
    </row>
    <row r="834" spans="2:14" x14ac:dyDescent="0.35">
      <c r="B834" s="58"/>
      <c r="C834" s="59"/>
      <c r="D834" s="59"/>
      <c r="E834" s="60"/>
      <c r="F834" s="61"/>
      <c r="G834" s="62"/>
      <c r="H834"/>
      <c r="I834" s="78"/>
      <c r="J834" s="109"/>
      <c r="K834" s="106"/>
      <c r="L834" s="98"/>
      <c r="M834" s="67"/>
      <c r="N834" s="77"/>
    </row>
    <row r="835" spans="2:14" x14ac:dyDescent="0.35">
      <c r="B835" s="58"/>
      <c r="C835" s="59"/>
      <c r="D835" s="59"/>
      <c r="E835" s="60"/>
      <c r="F835" s="61"/>
      <c r="G835" s="62"/>
      <c r="H835"/>
      <c r="I835" s="78"/>
      <c r="J835" s="109"/>
      <c r="K835" s="106"/>
      <c r="L835" s="98"/>
      <c r="M835" s="67"/>
      <c r="N835" s="77"/>
    </row>
    <row r="836" spans="2:14" ht="24" customHeight="1" x14ac:dyDescent="0.35">
      <c r="B836" s="58"/>
      <c r="C836" s="59"/>
      <c r="D836" s="59"/>
      <c r="E836" s="60"/>
      <c r="F836" s="61"/>
      <c r="G836" s="62"/>
      <c r="H836"/>
      <c r="I836" s="78"/>
      <c r="J836" s="109"/>
      <c r="K836" s="106"/>
      <c r="L836" s="98"/>
      <c r="M836" s="67"/>
      <c r="N836" s="77"/>
    </row>
    <row r="837" spans="2:14" x14ac:dyDescent="0.35">
      <c r="B837" s="58"/>
      <c r="C837" s="59"/>
      <c r="D837" s="59"/>
      <c r="E837" s="60"/>
      <c r="F837" s="61"/>
      <c r="G837" s="62"/>
      <c r="H837"/>
      <c r="I837" s="78"/>
      <c r="J837" s="109"/>
      <c r="K837" s="106"/>
      <c r="L837" s="98"/>
      <c r="M837" s="67"/>
      <c r="N837" s="77"/>
    </row>
    <row r="838" spans="2:14" x14ac:dyDescent="0.35">
      <c r="B838" s="58"/>
      <c r="C838" s="59"/>
      <c r="D838" s="59"/>
      <c r="E838" s="60"/>
      <c r="F838" s="61"/>
      <c r="G838" s="62"/>
      <c r="H838"/>
      <c r="I838" s="78"/>
      <c r="J838" s="109"/>
      <c r="K838" s="106"/>
      <c r="L838" s="98"/>
      <c r="M838" s="67"/>
      <c r="N838" s="77"/>
    </row>
    <row r="839" spans="2:14" x14ac:dyDescent="0.35">
      <c r="B839" s="58"/>
      <c r="C839" s="59"/>
      <c r="D839" s="59"/>
      <c r="E839" s="60"/>
      <c r="F839" s="61"/>
      <c r="G839" s="62"/>
      <c r="H839"/>
      <c r="I839" s="78"/>
      <c r="J839" s="109"/>
      <c r="K839" s="106"/>
      <c r="L839" s="98"/>
      <c r="M839" s="67"/>
      <c r="N839" s="77"/>
    </row>
    <row r="840" spans="2:14" x14ac:dyDescent="0.35">
      <c r="B840" s="58"/>
      <c r="C840" s="59"/>
      <c r="D840" s="59"/>
      <c r="E840" s="60"/>
      <c r="F840" s="61"/>
      <c r="G840" s="62"/>
      <c r="H840"/>
      <c r="I840" s="78"/>
      <c r="J840" s="109"/>
      <c r="K840" s="106"/>
      <c r="L840" s="98"/>
      <c r="M840" s="67"/>
      <c r="N840" s="77"/>
    </row>
    <row r="841" spans="2:14" x14ac:dyDescent="0.35">
      <c r="B841" s="58"/>
      <c r="C841" s="59"/>
      <c r="D841" s="59"/>
      <c r="E841" s="60"/>
      <c r="F841" s="61"/>
      <c r="G841" s="62"/>
      <c r="H841"/>
      <c r="I841" s="78"/>
      <c r="J841" s="109"/>
      <c r="K841" s="107"/>
      <c r="L841" s="99"/>
      <c r="M841" s="67"/>
      <c r="N841" s="77"/>
    </row>
    <row r="842" spans="2:14" x14ac:dyDescent="0.35">
      <c r="B842" s="58"/>
      <c r="C842" s="59"/>
      <c r="D842" s="59"/>
      <c r="E842" s="60"/>
      <c r="F842" s="61"/>
      <c r="G842" s="62"/>
      <c r="H842"/>
      <c r="I842" s="78"/>
      <c r="J842" s="76"/>
      <c r="K842" s="107"/>
      <c r="L842" s="99"/>
      <c r="M842" s="67"/>
      <c r="N842" s="77"/>
    </row>
    <row r="843" spans="2:14" x14ac:dyDescent="0.35">
      <c r="B843" s="58"/>
      <c r="C843" s="59"/>
      <c r="D843" s="59"/>
      <c r="E843" s="60"/>
      <c r="F843" s="61"/>
      <c r="G843" s="62"/>
      <c r="H843"/>
      <c r="I843" s="78"/>
      <c r="J843" s="76"/>
      <c r="K843" s="107"/>
      <c r="L843" s="99"/>
      <c r="M843" s="67"/>
      <c r="N843" s="77"/>
    </row>
    <row r="844" spans="2:14" x14ac:dyDescent="0.35">
      <c r="B844" s="58"/>
      <c r="C844" s="59"/>
      <c r="D844" s="59"/>
      <c r="E844" s="60"/>
      <c r="F844" s="61"/>
      <c r="G844" s="62"/>
      <c r="H844"/>
      <c r="I844" s="78"/>
      <c r="J844" s="109"/>
      <c r="K844" s="106"/>
      <c r="L844" s="98"/>
      <c r="M844" s="67"/>
      <c r="N844" s="77"/>
    </row>
    <row r="845" spans="2:14" x14ac:dyDescent="0.35">
      <c r="B845" s="58"/>
      <c r="C845" s="59"/>
      <c r="D845" s="59"/>
      <c r="E845" s="60"/>
      <c r="F845" s="61"/>
      <c r="G845" s="62"/>
      <c r="H845"/>
      <c r="I845" s="78"/>
      <c r="J845" s="76"/>
      <c r="K845" s="107"/>
      <c r="L845" s="99"/>
      <c r="M845" s="67"/>
      <c r="N845" s="77"/>
    </row>
    <row r="846" spans="2:14" x14ac:dyDescent="0.35">
      <c r="B846" s="58"/>
      <c r="C846" s="59"/>
      <c r="D846" s="59"/>
      <c r="E846" s="60"/>
      <c r="F846" s="61"/>
      <c r="G846" s="62"/>
      <c r="H846"/>
      <c r="I846" s="78"/>
      <c r="J846" s="109"/>
      <c r="K846" s="106"/>
      <c r="L846" s="98"/>
      <c r="M846" s="67"/>
      <c r="N846" s="77"/>
    </row>
    <row r="847" spans="2:14" x14ac:dyDescent="0.35">
      <c r="B847" s="58"/>
      <c r="C847" s="59"/>
      <c r="D847" s="59"/>
      <c r="E847" s="60"/>
      <c r="F847" s="61"/>
      <c r="G847" s="62"/>
      <c r="H847"/>
      <c r="I847" s="78"/>
      <c r="J847" s="109"/>
      <c r="K847" s="106"/>
      <c r="L847" s="98"/>
      <c r="M847" s="67"/>
      <c r="N847" s="77"/>
    </row>
    <row r="848" spans="2:14" x14ac:dyDescent="0.35">
      <c r="B848" s="58"/>
      <c r="C848" s="59"/>
      <c r="D848" s="59"/>
      <c r="E848" s="60"/>
      <c r="F848" s="61"/>
      <c r="G848" s="62"/>
      <c r="H848"/>
      <c r="I848" s="78"/>
      <c r="J848" s="109"/>
      <c r="K848" s="106"/>
      <c r="L848" s="98"/>
      <c r="M848" s="67"/>
      <c r="N848" s="77"/>
    </row>
    <row r="849" spans="2:14" x14ac:dyDescent="0.35">
      <c r="B849" s="58"/>
      <c r="C849" s="59"/>
      <c r="D849" s="59"/>
      <c r="E849" s="60"/>
      <c r="F849" s="61"/>
      <c r="G849" s="62"/>
      <c r="H849"/>
      <c r="I849" s="78"/>
      <c r="J849" s="109"/>
      <c r="K849" s="106"/>
      <c r="L849" s="98"/>
      <c r="M849" s="67"/>
      <c r="N849" s="77"/>
    </row>
    <row r="850" spans="2:14" x14ac:dyDescent="0.35">
      <c r="B850" s="58"/>
      <c r="C850" s="59"/>
      <c r="D850" s="59"/>
      <c r="E850" s="60"/>
      <c r="F850" s="61"/>
      <c r="G850" s="62"/>
      <c r="H850"/>
      <c r="I850" s="78"/>
      <c r="J850" s="109"/>
      <c r="K850" s="106"/>
      <c r="L850" s="98"/>
      <c r="M850" s="67"/>
      <c r="N850" s="77"/>
    </row>
    <row r="851" spans="2:14" x14ac:dyDescent="0.35">
      <c r="B851" s="58"/>
      <c r="C851" s="59"/>
      <c r="D851" s="59"/>
      <c r="E851" s="60"/>
      <c r="F851" s="61"/>
      <c r="G851" s="62"/>
      <c r="H851"/>
      <c r="I851" s="78"/>
      <c r="J851" s="109"/>
      <c r="K851" s="106"/>
      <c r="L851" s="98"/>
      <c r="M851" s="67"/>
      <c r="N851" s="77"/>
    </row>
    <row r="852" spans="2:14" x14ac:dyDescent="0.35">
      <c r="B852" s="58"/>
      <c r="C852" s="59"/>
      <c r="D852" s="59"/>
      <c r="E852" s="60"/>
      <c r="F852" s="61"/>
      <c r="G852" s="62"/>
      <c r="H852"/>
      <c r="I852" s="78"/>
      <c r="J852" s="109"/>
      <c r="K852" s="106"/>
      <c r="L852" s="98"/>
      <c r="M852" s="67"/>
      <c r="N852" s="77"/>
    </row>
    <row r="853" spans="2:14" x14ac:dyDescent="0.35">
      <c r="B853" s="58"/>
      <c r="C853" s="59"/>
      <c r="D853" s="59"/>
      <c r="E853" s="60"/>
      <c r="F853" s="61"/>
      <c r="G853" s="62"/>
      <c r="H853"/>
      <c r="I853" s="78"/>
      <c r="J853" s="109"/>
      <c r="K853" s="106"/>
      <c r="L853" s="98"/>
      <c r="M853" s="67"/>
      <c r="N853" s="77"/>
    </row>
    <row r="854" spans="2:14" x14ac:dyDescent="0.35">
      <c r="B854" s="58"/>
      <c r="C854" s="59"/>
      <c r="D854" s="59"/>
      <c r="E854" s="60"/>
      <c r="F854" s="61"/>
      <c r="G854" s="62"/>
      <c r="H854"/>
      <c r="I854" s="78"/>
      <c r="J854" s="109"/>
      <c r="K854" s="106"/>
      <c r="L854" s="98"/>
      <c r="M854" s="67"/>
      <c r="N854" s="77"/>
    </row>
    <row r="855" spans="2:14" x14ac:dyDescent="0.35">
      <c r="B855" s="58"/>
      <c r="C855" s="59"/>
      <c r="D855" s="59"/>
      <c r="E855" s="60"/>
      <c r="F855" s="61"/>
      <c r="G855" s="62"/>
      <c r="H855"/>
      <c r="I855" s="78"/>
      <c r="J855" s="109"/>
      <c r="K855" s="106"/>
      <c r="L855" s="98"/>
      <c r="M855" s="67"/>
      <c r="N855" s="77"/>
    </row>
    <row r="856" spans="2:14" x14ac:dyDescent="0.35">
      <c r="B856" s="58"/>
      <c r="C856" s="59"/>
      <c r="D856" s="59"/>
      <c r="E856" s="60"/>
      <c r="F856" s="61"/>
      <c r="G856" s="62"/>
      <c r="H856"/>
      <c r="I856" s="78"/>
      <c r="J856" s="109"/>
      <c r="K856" s="106"/>
      <c r="L856" s="98"/>
      <c r="M856" s="67"/>
      <c r="N856" s="77"/>
    </row>
    <row r="857" spans="2:14" x14ac:dyDescent="0.35">
      <c r="B857" s="58"/>
      <c r="C857" s="59"/>
      <c r="D857" s="59"/>
      <c r="E857" s="60"/>
      <c r="F857" s="61"/>
      <c r="G857" s="62"/>
      <c r="H857"/>
      <c r="I857" s="78"/>
      <c r="J857" s="109"/>
      <c r="K857" s="106"/>
      <c r="L857" s="98"/>
      <c r="M857" s="67"/>
      <c r="N857" s="77"/>
    </row>
    <row r="858" spans="2:14" x14ac:dyDescent="0.35">
      <c r="B858" s="58"/>
      <c r="C858" s="59"/>
      <c r="D858" s="59"/>
      <c r="E858" s="60"/>
      <c r="F858" s="61"/>
      <c r="G858" s="62"/>
      <c r="H858"/>
      <c r="I858" s="78"/>
      <c r="J858" s="109"/>
      <c r="K858" s="106"/>
      <c r="L858" s="98"/>
      <c r="M858" s="67"/>
      <c r="N858" s="77"/>
    </row>
    <row r="859" spans="2:14" x14ac:dyDescent="0.35">
      <c r="B859" s="58"/>
      <c r="C859" s="59"/>
      <c r="D859" s="59"/>
      <c r="E859" s="60"/>
      <c r="F859" s="61"/>
      <c r="G859" s="62"/>
      <c r="H859"/>
      <c r="I859" s="78"/>
      <c r="J859" s="109"/>
      <c r="K859" s="106"/>
      <c r="L859" s="98"/>
      <c r="M859" s="67"/>
      <c r="N859" s="77"/>
    </row>
    <row r="860" spans="2:14" x14ac:dyDescent="0.35">
      <c r="B860" s="58"/>
      <c r="C860" s="59"/>
      <c r="D860" s="59"/>
      <c r="E860" s="60"/>
      <c r="F860" s="61"/>
      <c r="G860" s="62"/>
      <c r="H860"/>
      <c r="I860" s="78"/>
      <c r="J860" s="109"/>
      <c r="K860" s="106"/>
      <c r="L860" s="98"/>
      <c r="M860" s="67"/>
      <c r="N860" s="77"/>
    </row>
    <row r="861" spans="2:14" x14ac:dyDescent="0.35">
      <c r="B861" s="58"/>
      <c r="C861" s="59"/>
      <c r="D861" s="59"/>
      <c r="E861" s="60"/>
      <c r="F861" s="61"/>
      <c r="G861" s="62"/>
      <c r="H861"/>
      <c r="I861" s="78"/>
      <c r="J861" s="109"/>
      <c r="K861" s="108"/>
      <c r="L861" s="98"/>
      <c r="M861" s="67"/>
      <c r="N861" s="77"/>
    </row>
    <row r="862" spans="2:14" x14ac:dyDescent="0.35">
      <c r="B862" s="58"/>
      <c r="C862" s="59"/>
      <c r="D862" s="59"/>
      <c r="E862" s="60"/>
      <c r="F862" s="61"/>
      <c r="G862" s="62"/>
      <c r="H862"/>
      <c r="I862" s="78"/>
      <c r="J862" s="109"/>
      <c r="K862" s="106"/>
      <c r="L862" s="98"/>
      <c r="M862" s="67"/>
      <c r="N862" s="77"/>
    </row>
    <row r="863" spans="2:14" x14ac:dyDescent="0.35">
      <c r="B863" s="58"/>
      <c r="C863" s="59"/>
      <c r="D863" s="59"/>
      <c r="E863" s="60"/>
      <c r="F863" s="61"/>
      <c r="G863" s="62"/>
      <c r="H863"/>
      <c r="I863" s="78"/>
      <c r="J863" s="109"/>
      <c r="K863" s="106"/>
      <c r="L863" s="98"/>
      <c r="M863" s="67"/>
      <c r="N863" s="77"/>
    </row>
    <row r="864" spans="2:14" x14ac:dyDescent="0.35">
      <c r="B864" s="58"/>
      <c r="C864" s="59"/>
      <c r="D864" s="59"/>
      <c r="E864" s="60"/>
      <c r="F864" s="61"/>
      <c r="G864" s="62"/>
      <c r="H864"/>
      <c r="I864" s="78"/>
      <c r="J864" s="109"/>
      <c r="K864" s="106"/>
      <c r="L864" s="98"/>
      <c r="M864" s="67"/>
      <c r="N864" s="77"/>
    </row>
    <row r="865" spans="2:14" x14ac:dyDescent="0.35">
      <c r="B865" s="58"/>
      <c r="C865" s="59"/>
      <c r="D865" s="59"/>
      <c r="E865" s="60"/>
      <c r="F865" s="61"/>
      <c r="G865" s="62"/>
      <c r="H865"/>
      <c r="I865" s="78"/>
      <c r="J865" s="109"/>
      <c r="K865" s="106"/>
      <c r="L865" s="98"/>
      <c r="M865" s="67"/>
      <c r="N865" s="77"/>
    </row>
    <row r="866" spans="2:14" x14ac:dyDescent="0.35">
      <c r="B866" s="58"/>
      <c r="C866" s="59"/>
      <c r="D866" s="59"/>
      <c r="E866" s="60"/>
      <c r="F866" s="61"/>
      <c r="G866" s="62"/>
      <c r="H866"/>
      <c r="I866" s="78"/>
      <c r="J866" s="109"/>
      <c r="K866" s="108"/>
      <c r="L866" s="98"/>
      <c r="M866" s="67"/>
      <c r="N866" s="77"/>
    </row>
    <row r="867" spans="2:14" x14ac:dyDescent="0.35">
      <c r="B867" s="58"/>
      <c r="C867" s="59"/>
      <c r="D867" s="59"/>
      <c r="E867" s="60"/>
      <c r="F867" s="61"/>
      <c r="G867" s="62"/>
      <c r="H867"/>
      <c r="I867" s="78"/>
      <c r="J867" s="109"/>
      <c r="K867" s="106"/>
      <c r="L867" s="98"/>
      <c r="M867" s="67"/>
      <c r="N867" s="77"/>
    </row>
    <row r="868" spans="2:14" x14ac:dyDescent="0.35">
      <c r="B868" s="58"/>
      <c r="C868" s="59"/>
      <c r="D868" s="59"/>
      <c r="E868" s="60"/>
      <c r="F868" s="61"/>
      <c r="G868" s="62"/>
      <c r="H868"/>
      <c r="I868" s="78"/>
      <c r="J868" s="109"/>
      <c r="K868" s="106"/>
      <c r="L868" s="98"/>
      <c r="M868" s="67"/>
      <c r="N868" s="77"/>
    </row>
    <row r="869" spans="2:14" x14ac:dyDescent="0.35">
      <c r="B869" s="58"/>
      <c r="C869" s="59"/>
      <c r="D869" s="59"/>
      <c r="E869" s="60"/>
      <c r="F869" s="61"/>
      <c r="G869" s="62"/>
      <c r="H869"/>
      <c r="I869" s="78"/>
      <c r="J869" s="109"/>
      <c r="K869" s="106"/>
      <c r="L869" s="98"/>
      <c r="M869" s="67"/>
      <c r="N869" s="77"/>
    </row>
    <row r="870" spans="2:14" x14ac:dyDescent="0.35">
      <c r="B870" s="58"/>
      <c r="C870" s="59"/>
      <c r="D870" s="59"/>
      <c r="E870" s="60"/>
      <c r="F870" s="61"/>
      <c r="G870" s="62"/>
      <c r="H870"/>
      <c r="I870" s="78"/>
      <c r="J870" s="109"/>
      <c r="K870" s="106"/>
      <c r="L870" s="98"/>
      <c r="M870" s="67"/>
      <c r="N870" s="77"/>
    </row>
    <row r="871" spans="2:14" x14ac:dyDescent="0.35">
      <c r="B871" s="58"/>
      <c r="C871" s="59"/>
      <c r="D871" s="59"/>
      <c r="E871" s="60"/>
      <c r="F871" s="61"/>
      <c r="G871" s="62"/>
      <c r="H871"/>
      <c r="I871" s="78"/>
      <c r="J871" s="109"/>
      <c r="K871" s="106"/>
      <c r="L871" s="98"/>
      <c r="M871" s="67"/>
      <c r="N871" s="77"/>
    </row>
    <row r="872" spans="2:14" x14ac:dyDescent="0.35">
      <c r="B872" s="58"/>
      <c r="C872" s="59"/>
      <c r="D872" s="59"/>
      <c r="E872" s="60"/>
      <c r="F872" s="61"/>
      <c r="G872" s="62"/>
      <c r="H872"/>
      <c r="I872" s="78"/>
      <c r="J872" s="109"/>
      <c r="K872" s="106"/>
      <c r="L872" s="98"/>
      <c r="M872" s="67"/>
      <c r="N872" s="77"/>
    </row>
    <row r="873" spans="2:14" x14ac:dyDescent="0.35">
      <c r="B873" s="58"/>
      <c r="C873" s="59"/>
      <c r="D873" s="59"/>
      <c r="E873" s="60"/>
      <c r="F873" s="61"/>
      <c r="G873" s="62"/>
      <c r="H873"/>
      <c r="I873" s="78"/>
      <c r="J873" s="109"/>
      <c r="K873" s="106"/>
      <c r="L873" s="98"/>
      <c r="M873" s="67"/>
      <c r="N873" s="77"/>
    </row>
    <row r="874" spans="2:14" x14ac:dyDescent="0.35">
      <c r="B874" s="58"/>
      <c r="C874" s="59"/>
      <c r="D874" s="59"/>
      <c r="E874" s="60"/>
      <c r="F874" s="61"/>
      <c r="G874" s="62"/>
      <c r="H874"/>
      <c r="I874" s="78"/>
      <c r="J874" s="109"/>
      <c r="K874" s="106"/>
      <c r="L874" s="98"/>
      <c r="M874" s="67"/>
      <c r="N874" s="77"/>
    </row>
    <row r="875" spans="2:14" x14ac:dyDescent="0.35">
      <c r="B875" s="58"/>
      <c r="C875" s="59"/>
      <c r="D875" s="59"/>
      <c r="E875" s="60"/>
      <c r="F875" s="61"/>
      <c r="G875" s="62"/>
      <c r="H875"/>
      <c r="I875" s="78"/>
      <c r="J875" s="109"/>
      <c r="K875" s="106"/>
      <c r="L875" s="98"/>
      <c r="M875" s="67"/>
      <c r="N875" s="77"/>
    </row>
    <row r="876" spans="2:14" x14ac:dyDescent="0.35">
      <c r="B876" s="58"/>
      <c r="C876" s="59"/>
      <c r="D876" s="59"/>
      <c r="E876" s="60"/>
      <c r="F876" s="61"/>
      <c r="G876" s="62"/>
      <c r="H876"/>
      <c r="I876" s="78"/>
      <c r="J876" s="109"/>
      <c r="K876" s="106"/>
      <c r="L876" s="98"/>
      <c r="M876" s="67"/>
      <c r="N876" s="77"/>
    </row>
    <row r="877" spans="2:14" x14ac:dyDescent="0.35">
      <c r="B877" s="58"/>
      <c r="C877" s="59"/>
      <c r="D877" s="59"/>
      <c r="E877" s="60"/>
      <c r="F877" s="61"/>
      <c r="G877" s="62"/>
      <c r="H877"/>
      <c r="I877" s="78"/>
      <c r="J877" s="109"/>
      <c r="K877" s="108"/>
      <c r="L877" s="98"/>
      <c r="M877" s="67"/>
      <c r="N877" s="77"/>
    </row>
    <row r="878" spans="2:14" x14ac:dyDescent="0.35">
      <c r="B878" s="58"/>
      <c r="C878" s="59"/>
      <c r="D878" s="59"/>
      <c r="E878" s="60"/>
      <c r="F878" s="61"/>
      <c r="G878" s="62"/>
      <c r="H878"/>
      <c r="I878" s="78"/>
      <c r="J878" s="109"/>
      <c r="K878" s="106"/>
      <c r="L878" s="98"/>
      <c r="M878" s="67"/>
      <c r="N878" s="77"/>
    </row>
    <row r="879" spans="2:14" x14ac:dyDescent="0.35">
      <c r="B879" s="58"/>
      <c r="C879" s="59"/>
      <c r="D879" s="59"/>
      <c r="E879" s="60"/>
      <c r="F879" s="61"/>
      <c r="G879" s="62"/>
      <c r="H879"/>
      <c r="I879" s="78"/>
      <c r="J879" s="109"/>
      <c r="K879" s="108"/>
      <c r="L879" s="98"/>
      <c r="M879" s="67"/>
      <c r="N879" s="77"/>
    </row>
    <row r="880" spans="2:14" x14ac:dyDescent="0.35">
      <c r="B880" s="58"/>
      <c r="C880" s="59"/>
      <c r="D880" s="59"/>
      <c r="E880" s="60"/>
      <c r="F880" s="61"/>
      <c r="G880" s="62"/>
      <c r="H880"/>
      <c r="I880" s="78"/>
      <c r="J880" s="109"/>
      <c r="K880" s="108"/>
      <c r="L880" s="98"/>
      <c r="M880" s="67"/>
      <c r="N880" s="77"/>
    </row>
    <row r="881" spans="2:14" x14ac:dyDescent="0.35">
      <c r="B881" s="58"/>
      <c r="C881" s="59"/>
      <c r="D881" s="59"/>
      <c r="E881" s="60"/>
      <c r="F881" s="61"/>
      <c r="G881" s="62"/>
      <c r="H881"/>
      <c r="I881" s="78"/>
      <c r="J881" s="109"/>
      <c r="K881" s="106"/>
      <c r="L881" s="98"/>
      <c r="M881" s="67"/>
      <c r="N881" s="77"/>
    </row>
    <row r="882" spans="2:14" x14ac:dyDescent="0.35">
      <c r="B882" s="58"/>
      <c r="C882" s="59"/>
      <c r="D882" s="59"/>
      <c r="E882" s="60"/>
      <c r="F882" s="61"/>
      <c r="G882" s="62"/>
      <c r="H882"/>
      <c r="I882" s="78"/>
      <c r="J882" s="109"/>
      <c r="K882" s="106"/>
      <c r="L882" s="98"/>
      <c r="M882" s="67"/>
      <c r="N882" s="77"/>
    </row>
    <row r="883" spans="2:14" x14ac:dyDescent="0.35">
      <c r="B883" s="58"/>
      <c r="C883" s="59"/>
      <c r="D883" s="59"/>
      <c r="E883" s="60"/>
      <c r="F883" s="61"/>
      <c r="G883" s="62"/>
      <c r="H883"/>
      <c r="I883" s="78"/>
      <c r="J883" s="109"/>
      <c r="K883" s="108"/>
      <c r="L883" s="98"/>
      <c r="M883" s="67"/>
      <c r="N883" s="77"/>
    </row>
    <row r="884" spans="2:14" x14ac:dyDescent="0.35">
      <c r="B884" s="58"/>
      <c r="C884" s="59"/>
      <c r="D884" s="59"/>
      <c r="E884" s="60"/>
      <c r="F884" s="61"/>
      <c r="G884" s="62"/>
      <c r="H884"/>
      <c r="I884" s="78"/>
      <c r="J884" s="109"/>
      <c r="K884" s="106"/>
      <c r="L884" s="98"/>
      <c r="M884" s="67"/>
      <c r="N884" s="77"/>
    </row>
    <row r="885" spans="2:14" x14ac:dyDescent="0.35">
      <c r="B885" s="58"/>
      <c r="C885" s="59"/>
      <c r="D885" s="59"/>
      <c r="E885" s="60"/>
      <c r="F885" s="61"/>
      <c r="G885" s="62"/>
      <c r="H885"/>
      <c r="I885" s="78"/>
      <c r="J885" s="109"/>
      <c r="K885" s="106"/>
      <c r="L885" s="98"/>
      <c r="M885" s="67"/>
      <c r="N885" s="77"/>
    </row>
    <row r="886" spans="2:14" x14ac:dyDescent="0.35">
      <c r="B886" s="58"/>
      <c r="C886" s="59"/>
      <c r="D886" s="59"/>
      <c r="E886" s="60"/>
      <c r="F886" s="61"/>
      <c r="G886" s="62"/>
      <c r="H886"/>
      <c r="I886" s="78"/>
      <c r="J886" s="109"/>
      <c r="K886" s="106"/>
      <c r="L886" s="98"/>
      <c r="M886" s="67"/>
      <c r="N886" s="77"/>
    </row>
    <row r="887" spans="2:14" x14ac:dyDescent="0.35">
      <c r="B887" s="58"/>
      <c r="C887" s="59"/>
      <c r="D887" s="59"/>
      <c r="E887" s="60"/>
      <c r="F887" s="61"/>
      <c r="G887" s="62"/>
      <c r="H887"/>
      <c r="I887" s="78"/>
      <c r="J887" s="109"/>
      <c r="K887" s="106"/>
      <c r="L887" s="98"/>
      <c r="M887" s="67"/>
      <c r="N887" s="77"/>
    </row>
    <row r="888" spans="2:14" x14ac:dyDescent="0.35">
      <c r="B888" s="58"/>
      <c r="C888" s="59"/>
      <c r="D888" s="59"/>
      <c r="E888" s="60"/>
      <c r="F888" s="61"/>
      <c r="G888" s="62"/>
      <c r="H888"/>
      <c r="I888" s="78"/>
      <c r="J888" s="109"/>
      <c r="K888" s="106"/>
      <c r="L888" s="98"/>
      <c r="M888" s="67"/>
      <c r="N888" s="77"/>
    </row>
    <row r="889" spans="2:14" x14ac:dyDescent="0.35">
      <c r="B889" s="58"/>
      <c r="C889" s="59"/>
      <c r="D889" s="59"/>
      <c r="E889" s="60"/>
      <c r="F889" s="61"/>
      <c r="G889" s="62"/>
      <c r="H889"/>
      <c r="I889" s="78"/>
      <c r="J889" s="109"/>
      <c r="K889" s="106"/>
      <c r="L889" s="98"/>
      <c r="M889" s="67"/>
      <c r="N889" s="77"/>
    </row>
    <row r="890" spans="2:14" x14ac:dyDescent="0.35">
      <c r="B890" s="58"/>
      <c r="C890" s="59"/>
      <c r="D890" s="59"/>
      <c r="E890" s="60"/>
      <c r="F890" s="61"/>
      <c r="G890" s="62"/>
      <c r="H890"/>
      <c r="I890" s="78"/>
      <c r="J890" s="109"/>
      <c r="K890" s="106"/>
      <c r="L890" s="98"/>
      <c r="M890" s="67"/>
      <c r="N890" s="77"/>
    </row>
    <row r="891" spans="2:14" x14ac:dyDescent="0.35">
      <c r="B891" s="58"/>
      <c r="C891" s="59"/>
      <c r="D891" s="59"/>
      <c r="E891" s="60"/>
      <c r="F891" s="61"/>
      <c r="G891" s="62"/>
      <c r="H891"/>
      <c r="I891" s="78"/>
      <c r="J891" s="109"/>
      <c r="K891" s="106"/>
      <c r="L891" s="98"/>
      <c r="M891" s="67"/>
      <c r="N891" s="77"/>
    </row>
    <row r="892" spans="2:14" x14ac:dyDescent="0.35">
      <c r="B892" s="58"/>
      <c r="C892" s="59"/>
      <c r="D892" s="59"/>
      <c r="E892" s="60"/>
      <c r="F892" s="61"/>
      <c r="G892" s="62"/>
      <c r="H892"/>
      <c r="I892" s="78"/>
      <c r="J892" s="109"/>
      <c r="K892" s="106"/>
      <c r="L892" s="98"/>
      <c r="M892" s="67"/>
      <c r="N892" s="77"/>
    </row>
    <row r="893" spans="2:14" x14ac:dyDescent="0.35">
      <c r="B893" s="58"/>
      <c r="C893" s="59"/>
      <c r="D893" s="59"/>
      <c r="E893" s="60"/>
      <c r="F893" s="61"/>
      <c r="G893" s="62"/>
      <c r="H893"/>
      <c r="I893" s="78"/>
      <c r="J893" s="109"/>
      <c r="K893" s="106"/>
      <c r="L893" s="98"/>
      <c r="M893" s="67"/>
      <c r="N893" s="77"/>
    </row>
    <row r="894" spans="2:14" x14ac:dyDescent="0.35">
      <c r="B894" s="58"/>
      <c r="C894" s="59"/>
      <c r="D894" s="59"/>
      <c r="E894" s="60"/>
      <c r="F894" s="61"/>
      <c r="G894" s="62"/>
      <c r="H894"/>
      <c r="I894" s="78"/>
      <c r="J894" s="109"/>
      <c r="K894" s="106"/>
      <c r="L894" s="98"/>
      <c r="M894" s="67"/>
      <c r="N894" s="77"/>
    </row>
    <row r="895" spans="2:14" x14ac:dyDescent="0.35">
      <c r="B895" s="58"/>
      <c r="C895" s="59"/>
      <c r="D895" s="59"/>
      <c r="E895" s="60"/>
      <c r="F895" s="61"/>
      <c r="G895" s="62"/>
      <c r="H895"/>
      <c r="I895" s="78"/>
      <c r="J895" s="109"/>
      <c r="K895" s="106"/>
      <c r="L895" s="98"/>
      <c r="M895" s="67"/>
      <c r="N895" s="77"/>
    </row>
    <row r="896" spans="2:14" x14ac:dyDescent="0.35">
      <c r="B896" s="58"/>
      <c r="C896" s="59"/>
      <c r="D896" s="59"/>
      <c r="E896" s="60"/>
      <c r="F896" s="61"/>
      <c r="G896" s="62"/>
      <c r="H896"/>
      <c r="I896" s="78"/>
      <c r="J896" s="109"/>
      <c r="K896" s="106"/>
      <c r="L896" s="98"/>
      <c r="M896" s="67"/>
      <c r="N896" s="77"/>
    </row>
    <row r="897" spans="2:14" x14ac:dyDescent="0.35">
      <c r="B897" s="58"/>
      <c r="C897" s="59"/>
      <c r="D897" s="59"/>
      <c r="E897" s="60"/>
      <c r="F897" s="61"/>
      <c r="G897" s="62"/>
      <c r="H897"/>
      <c r="I897" s="78"/>
      <c r="J897" s="109"/>
      <c r="K897" s="106"/>
      <c r="L897" s="98"/>
      <c r="M897" s="67"/>
      <c r="N897" s="77"/>
    </row>
    <row r="898" spans="2:14" x14ac:dyDescent="0.35">
      <c r="B898" s="58"/>
      <c r="C898" s="59"/>
      <c r="D898" s="59"/>
      <c r="E898" s="60"/>
      <c r="F898" s="61"/>
      <c r="G898" s="62"/>
      <c r="H898"/>
      <c r="I898" s="78"/>
      <c r="J898" s="109"/>
      <c r="K898" s="106"/>
      <c r="L898" s="98"/>
      <c r="M898" s="67"/>
      <c r="N898" s="77"/>
    </row>
    <row r="899" spans="2:14" x14ac:dyDescent="0.35">
      <c r="B899" s="58"/>
      <c r="C899" s="59"/>
      <c r="D899" s="59"/>
      <c r="E899" s="60"/>
      <c r="F899" s="61"/>
      <c r="G899" s="62"/>
      <c r="H899"/>
      <c r="I899" s="78"/>
      <c r="J899" s="109"/>
      <c r="K899" s="106"/>
      <c r="L899" s="98"/>
      <c r="M899" s="67"/>
      <c r="N899" s="77"/>
    </row>
    <row r="900" spans="2:14" x14ac:dyDescent="0.35">
      <c r="B900" s="58"/>
      <c r="C900" s="59"/>
      <c r="D900" s="59"/>
      <c r="E900" s="60"/>
      <c r="F900" s="61"/>
      <c r="G900" s="62"/>
      <c r="H900"/>
      <c r="I900" s="78"/>
      <c r="J900" s="109"/>
      <c r="K900" s="106"/>
      <c r="L900" s="98"/>
      <c r="M900" s="67"/>
      <c r="N900" s="77"/>
    </row>
    <row r="901" spans="2:14" x14ac:dyDescent="0.35">
      <c r="B901" s="58"/>
      <c r="C901" s="59"/>
      <c r="D901" s="59"/>
      <c r="E901" s="60"/>
      <c r="F901" s="61"/>
      <c r="G901" s="62"/>
      <c r="H901"/>
      <c r="I901" s="78"/>
      <c r="J901" s="109"/>
      <c r="K901" s="106"/>
      <c r="L901" s="98"/>
      <c r="M901" s="67"/>
      <c r="N901" s="77"/>
    </row>
    <row r="902" spans="2:14" x14ac:dyDescent="0.35">
      <c r="B902" s="58"/>
      <c r="C902" s="59"/>
      <c r="D902" s="59"/>
      <c r="E902" s="60"/>
      <c r="F902" s="61"/>
      <c r="G902" s="62"/>
      <c r="H902"/>
      <c r="I902" s="78"/>
      <c r="J902" s="109"/>
      <c r="K902" s="106"/>
      <c r="L902" s="98"/>
      <c r="M902" s="67"/>
      <c r="N902" s="77"/>
    </row>
    <row r="903" spans="2:14" x14ac:dyDescent="0.35">
      <c r="B903" s="58"/>
      <c r="C903" s="59"/>
      <c r="D903" s="59"/>
      <c r="E903" s="60"/>
      <c r="F903" s="61"/>
      <c r="G903" s="62"/>
      <c r="H903"/>
      <c r="I903" s="78"/>
      <c r="J903" s="109"/>
      <c r="K903" s="106"/>
      <c r="L903" s="98"/>
      <c r="M903" s="67"/>
      <c r="N903" s="77"/>
    </row>
    <row r="904" spans="2:14" x14ac:dyDescent="0.35">
      <c r="B904" s="58"/>
      <c r="C904" s="59"/>
      <c r="D904" s="59"/>
      <c r="E904" s="60"/>
      <c r="F904" s="61"/>
      <c r="G904" s="62"/>
      <c r="H904"/>
      <c r="I904" s="78"/>
      <c r="J904" s="109"/>
      <c r="K904" s="106"/>
      <c r="L904" s="98"/>
      <c r="M904" s="67"/>
      <c r="N904" s="77"/>
    </row>
    <row r="905" spans="2:14" x14ac:dyDescent="0.35">
      <c r="B905" s="58"/>
      <c r="C905" s="59"/>
      <c r="D905" s="59"/>
      <c r="E905" s="60"/>
      <c r="F905" s="61"/>
      <c r="G905" s="62"/>
      <c r="H905"/>
      <c r="I905" s="78"/>
      <c r="J905" s="109"/>
      <c r="K905" s="106"/>
      <c r="L905" s="98"/>
      <c r="M905" s="67"/>
      <c r="N905" s="77"/>
    </row>
    <row r="906" spans="2:14" x14ac:dyDescent="0.35">
      <c r="B906" s="58"/>
      <c r="C906" s="59"/>
      <c r="D906" s="59"/>
      <c r="E906" s="60"/>
      <c r="F906" s="61"/>
      <c r="G906" s="62"/>
      <c r="H906"/>
      <c r="I906" s="78"/>
      <c r="J906" s="109"/>
      <c r="K906" s="106"/>
      <c r="L906" s="98"/>
      <c r="M906" s="67"/>
      <c r="N906" s="77"/>
    </row>
    <row r="907" spans="2:14" x14ac:dyDescent="0.35">
      <c r="B907" s="58"/>
      <c r="C907" s="59"/>
      <c r="D907" s="59"/>
      <c r="E907" s="60"/>
      <c r="F907" s="61"/>
      <c r="G907" s="62"/>
      <c r="H907"/>
      <c r="I907" s="78"/>
      <c r="J907" s="109"/>
      <c r="K907" s="106"/>
      <c r="L907" s="98"/>
      <c r="M907" s="67"/>
      <c r="N907" s="77"/>
    </row>
    <row r="908" spans="2:14" x14ac:dyDescent="0.35">
      <c r="B908" s="58"/>
      <c r="C908" s="59"/>
      <c r="D908" s="59"/>
      <c r="E908" s="60"/>
      <c r="F908" s="61"/>
      <c r="G908" s="62"/>
      <c r="H908"/>
      <c r="I908" s="78"/>
      <c r="J908" s="109"/>
      <c r="K908" s="106"/>
      <c r="L908" s="98"/>
      <c r="M908" s="67"/>
      <c r="N908" s="77"/>
    </row>
    <row r="909" spans="2:14" x14ac:dyDescent="0.35">
      <c r="B909" s="58"/>
      <c r="C909" s="59"/>
      <c r="D909" s="59"/>
      <c r="E909" s="60"/>
      <c r="F909" s="61"/>
      <c r="G909" s="62"/>
      <c r="H909"/>
      <c r="I909" s="78"/>
      <c r="J909" s="109"/>
      <c r="K909" s="106"/>
      <c r="L909" s="98"/>
      <c r="M909" s="67"/>
      <c r="N909" s="77"/>
    </row>
    <row r="910" spans="2:14" x14ac:dyDescent="0.35">
      <c r="B910" s="58"/>
      <c r="C910" s="59"/>
      <c r="D910" s="59"/>
      <c r="E910" s="60"/>
      <c r="F910" s="61"/>
      <c r="G910" s="62"/>
      <c r="H910"/>
      <c r="I910" s="78"/>
      <c r="J910" s="109"/>
      <c r="K910" s="106"/>
      <c r="L910" s="98"/>
      <c r="M910" s="67"/>
      <c r="N910" s="77"/>
    </row>
    <row r="911" spans="2:14" x14ac:dyDescent="0.35">
      <c r="B911" s="58"/>
      <c r="C911" s="59"/>
      <c r="D911" s="59"/>
      <c r="E911" s="60"/>
      <c r="F911" s="61"/>
      <c r="G911" s="62"/>
      <c r="H911"/>
      <c r="I911" s="78"/>
      <c r="J911" s="109"/>
      <c r="K911" s="106"/>
      <c r="L911" s="98"/>
      <c r="M911" s="67"/>
      <c r="N911" s="77"/>
    </row>
    <row r="912" spans="2:14" x14ac:dyDescent="0.35">
      <c r="B912" s="58"/>
      <c r="C912" s="59"/>
      <c r="D912" s="59"/>
      <c r="E912" s="60"/>
      <c r="F912" s="61"/>
      <c r="G912" s="62"/>
      <c r="H912"/>
      <c r="I912" s="78"/>
      <c r="J912" s="109"/>
      <c r="K912" s="106"/>
      <c r="L912" s="98"/>
      <c r="M912" s="67"/>
      <c r="N912" s="77"/>
    </row>
    <row r="913" spans="2:14" x14ac:dyDescent="0.35">
      <c r="B913" s="58"/>
      <c r="C913" s="59"/>
      <c r="D913" s="59"/>
      <c r="E913" s="60"/>
      <c r="F913" s="61"/>
      <c r="G913" s="62"/>
      <c r="H913"/>
      <c r="I913" s="78"/>
      <c r="J913" s="109"/>
      <c r="K913" s="106"/>
      <c r="L913" s="98"/>
      <c r="M913" s="67"/>
      <c r="N913" s="77"/>
    </row>
    <row r="914" spans="2:14" x14ac:dyDescent="0.35">
      <c r="B914" s="58"/>
      <c r="C914" s="59"/>
      <c r="D914" s="59"/>
      <c r="E914" s="60"/>
      <c r="F914" s="61"/>
      <c r="G914" s="62"/>
      <c r="H914"/>
      <c r="I914" s="78"/>
      <c r="J914" s="109"/>
      <c r="K914" s="106"/>
      <c r="L914" s="98"/>
      <c r="M914" s="67"/>
      <c r="N914" s="77"/>
    </row>
    <row r="915" spans="2:14" x14ac:dyDescent="0.35">
      <c r="B915" s="58"/>
      <c r="C915" s="59"/>
      <c r="D915" s="59"/>
      <c r="E915" s="60"/>
      <c r="F915" s="61"/>
      <c r="G915" s="62"/>
      <c r="H915"/>
      <c r="I915" s="78"/>
      <c r="J915" s="109"/>
      <c r="K915" s="106"/>
      <c r="L915" s="98"/>
      <c r="M915" s="67"/>
      <c r="N915" s="77"/>
    </row>
    <row r="916" spans="2:14" x14ac:dyDescent="0.35">
      <c r="B916" s="58"/>
      <c r="C916" s="59"/>
      <c r="D916" s="59"/>
      <c r="E916" s="60"/>
      <c r="F916" s="61"/>
      <c r="G916" s="62"/>
      <c r="H916"/>
      <c r="I916" s="78"/>
      <c r="J916" s="109"/>
      <c r="K916" s="106"/>
      <c r="L916" s="98"/>
      <c r="M916" s="67"/>
      <c r="N916" s="77"/>
    </row>
    <row r="917" spans="2:14" x14ac:dyDescent="0.35">
      <c r="B917" s="58"/>
      <c r="C917" s="59"/>
      <c r="D917" s="59"/>
      <c r="E917" s="60"/>
      <c r="F917" s="61"/>
      <c r="G917" s="62"/>
      <c r="H917"/>
      <c r="I917" s="78"/>
      <c r="J917" s="109"/>
      <c r="K917" s="106"/>
      <c r="L917" s="98"/>
      <c r="M917" s="67"/>
      <c r="N917" s="77"/>
    </row>
    <row r="918" spans="2:14" x14ac:dyDescent="0.35">
      <c r="B918" s="58"/>
      <c r="C918" s="59"/>
      <c r="D918" s="59"/>
      <c r="E918" s="60"/>
      <c r="F918" s="61"/>
      <c r="G918" s="62"/>
      <c r="H918"/>
      <c r="I918" s="78"/>
      <c r="J918" s="109"/>
      <c r="K918" s="106"/>
      <c r="L918" s="98"/>
      <c r="M918" s="67"/>
      <c r="N918" s="77"/>
    </row>
    <row r="919" spans="2:14" x14ac:dyDescent="0.35">
      <c r="B919" s="58"/>
      <c r="C919" s="59"/>
      <c r="D919" s="59"/>
      <c r="E919" s="60"/>
      <c r="F919" s="61"/>
      <c r="G919" s="62"/>
      <c r="H919"/>
      <c r="I919" s="78"/>
      <c r="J919" s="109"/>
      <c r="K919" s="106"/>
      <c r="L919" s="98"/>
      <c r="M919" s="67"/>
      <c r="N919" s="77"/>
    </row>
    <row r="920" spans="2:14" x14ac:dyDescent="0.35">
      <c r="B920" s="58"/>
      <c r="C920" s="59"/>
      <c r="D920" s="59"/>
      <c r="E920" s="60"/>
      <c r="F920" s="61"/>
      <c r="G920" s="62"/>
      <c r="H920"/>
      <c r="I920" s="78"/>
      <c r="J920" s="109"/>
      <c r="K920" s="106"/>
      <c r="L920" s="98"/>
      <c r="M920" s="67"/>
      <c r="N920" s="77"/>
    </row>
    <row r="921" spans="2:14" x14ac:dyDescent="0.35">
      <c r="B921" s="58"/>
      <c r="C921" s="59"/>
      <c r="D921" s="59"/>
      <c r="E921" s="60"/>
      <c r="F921" s="61"/>
      <c r="G921" s="62"/>
      <c r="H921"/>
      <c r="I921" s="78"/>
      <c r="J921" s="109"/>
      <c r="K921" s="110"/>
      <c r="L921" s="99"/>
      <c r="M921" s="67"/>
      <c r="N921" s="77"/>
    </row>
    <row r="922" spans="2:14" x14ac:dyDescent="0.35">
      <c r="B922" s="58"/>
      <c r="C922" s="59"/>
      <c r="D922" s="59"/>
      <c r="E922" s="60"/>
      <c r="F922" s="61"/>
      <c r="G922" s="62"/>
      <c r="H922"/>
      <c r="I922" s="78"/>
      <c r="J922" s="76"/>
      <c r="K922" s="107"/>
      <c r="L922" s="99"/>
      <c r="M922" s="67"/>
      <c r="N922" s="77"/>
    </row>
    <row r="923" spans="2:14" x14ac:dyDescent="0.35">
      <c r="B923" s="58"/>
      <c r="C923" s="59"/>
      <c r="D923" s="59"/>
      <c r="E923" s="60"/>
      <c r="F923" s="61"/>
      <c r="G923" s="62"/>
      <c r="H923"/>
      <c r="I923" s="78"/>
      <c r="J923" s="76"/>
      <c r="K923" s="107"/>
      <c r="L923" s="99"/>
      <c r="M923" s="67"/>
      <c r="N923" s="77"/>
    </row>
    <row r="924" spans="2:14" x14ac:dyDescent="0.35">
      <c r="B924" s="58"/>
      <c r="C924" s="59"/>
      <c r="D924" s="59"/>
      <c r="E924" s="60"/>
      <c r="F924" s="61"/>
      <c r="G924" s="62"/>
      <c r="H924"/>
      <c r="I924" s="78"/>
      <c r="J924" s="76"/>
      <c r="K924" s="107"/>
      <c r="L924" s="99"/>
      <c r="M924" s="67"/>
      <c r="N924" s="77"/>
    </row>
    <row r="925" spans="2:14" x14ac:dyDescent="0.35">
      <c r="B925" s="58"/>
      <c r="C925" s="59"/>
      <c r="D925" s="59"/>
      <c r="E925" s="60"/>
      <c r="F925" s="61"/>
      <c r="G925" s="62"/>
      <c r="H925"/>
      <c r="I925" s="78"/>
      <c r="J925" s="76"/>
      <c r="K925" s="107"/>
      <c r="L925" s="99"/>
      <c r="M925" s="67"/>
      <c r="N925" s="77"/>
    </row>
    <row r="926" spans="2:14" x14ac:dyDescent="0.35">
      <c r="B926" s="58"/>
      <c r="C926" s="59"/>
      <c r="D926" s="59"/>
      <c r="E926" s="60"/>
      <c r="F926" s="61"/>
      <c r="G926" s="62"/>
      <c r="H926"/>
      <c r="I926" s="78"/>
      <c r="J926" s="76"/>
      <c r="K926" s="107"/>
      <c r="L926" s="99"/>
      <c r="M926" s="67"/>
      <c r="N926" s="77"/>
    </row>
    <row r="927" spans="2:14" x14ac:dyDescent="0.35">
      <c r="B927" s="58"/>
      <c r="C927" s="59"/>
      <c r="D927" s="59"/>
      <c r="E927" s="60"/>
      <c r="F927" s="61"/>
      <c r="G927" s="62"/>
      <c r="H927"/>
      <c r="I927" s="78"/>
      <c r="J927" s="76"/>
      <c r="K927" s="107"/>
      <c r="L927" s="99"/>
      <c r="M927" s="67"/>
      <c r="N927" s="77"/>
    </row>
    <row r="928" spans="2:14" x14ac:dyDescent="0.35">
      <c r="B928" s="58"/>
      <c r="C928" s="59"/>
      <c r="D928" s="59"/>
      <c r="E928" s="60"/>
      <c r="F928" s="61"/>
      <c r="G928" s="62"/>
      <c r="H928"/>
      <c r="I928" s="78"/>
      <c r="J928" s="76"/>
      <c r="K928" s="107"/>
      <c r="L928" s="99"/>
      <c r="M928" s="67"/>
      <c r="N928" s="77"/>
    </row>
    <row r="929" spans="2:14" x14ac:dyDescent="0.35">
      <c r="B929" s="58"/>
      <c r="C929" s="59"/>
      <c r="D929" s="59"/>
      <c r="E929" s="60"/>
      <c r="F929" s="61"/>
      <c r="G929" s="62"/>
      <c r="H929"/>
      <c r="I929" s="78"/>
      <c r="J929" s="76"/>
      <c r="K929" s="107"/>
      <c r="L929" s="99"/>
      <c r="M929" s="67"/>
      <c r="N929" s="77"/>
    </row>
    <row r="930" spans="2:14" x14ac:dyDescent="0.35">
      <c r="B930" s="58"/>
      <c r="C930" s="59"/>
      <c r="D930" s="59"/>
      <c r="E930" s="60"/>
      <c r="F930" s="61"/>
      <c r="G930"/>
      <c r="H930"/>
      <c r="I930" s="78"/>
      <c r="J930" s="76"/>
      <c r="K930" s="107"/>
      <c r="L930" s="99"/>
      <c r="M930" s="67"/>
      <c r="N930" s="77"/>
    </row>
    <row r="931" spans="2:14" x14ac:dyDescent="0.35">
      <c r="B931" s="58"/>
      <c r="C931" s="59"/>
      <c r="D931" s="59"/>
      <c r="E931" s="60"/>
      <c r="F931" s="61"/>
      <c r="G931"/>
      <c r="H931"/>
      <c r="I931" s="78"/>
      <c r="J931" s="76"/>
      <c r="K931" s="107"/>
      <c r="L931" s="99"/>
      <c r="M931" s="67"/>
      <c r="N931" s="77"/>
    </row>
    <row r="932" spans="2:14" x14ac:dyDescent="0.35">
      <c r="B932" s="58"/>
      <c r="C932" s="59"/>
      <c r="D932" s="59"/>
      <c r="E932" s="60"/>
      <c r="F932" s="61"/>
      <c r="G932"/>
      <c r="H932"/>
      <c r="I932" s="78"/>
      <c r="J932" s="76"/>
      <c r="K932" s="107"/>
      <c r="L932" s="99"/>
      <c r="M932" s="67"/>
      <c r="N932" s="77"/>
    </row>
    <row r="933" spans="2:14" x14ac:dyDescent="0.35">
      <c r="B933" s="58"/>
      <c r="C933" s="59"/>
      <c r="D933" s="59"/>
      <c r="E933" s="60"/>
      <c r="F933" s="61"/>
      <c r="G933"/>
      <c r="H933"/>
      <c r="I933" s="78"/>
      <c r="J933" s="76"/>
      <c r="K933" s="107"/>
      <c r="L933" s="99"/>
      <c r="M933" s="67"/>
      <c r="N933" s="77"/>
    </row>
    <row r="934" spans="2:14" x14ac:dyDescent="0.35">
      <c r="B934" s="58"/>
      <c r="C934" s="59"/>
      <c r="D934" s="59"/>
      <c r="E934" s="60"/>
      <c r="F934" s="61"/>
      <c r="G934"/>
      <c r="H934"/>
      <c r="I934" s="78"/>
      <c r="J934" s="76"/>
      <c r="K934" s="107"/>
      <c r="L934" s="99"/>
      <c r="M934" s="67"/>
      <c r="N934" s="77"/>
    </row>
    <row r="935" spans="2:14" x14ac:dyDescent="0.35">
      <c r="B935" s="58"/>
      <c r="C935" s="59"/>
      <c r="D935" s="59"/>
      <c r="E935" s="60"/>
      <c r="F935" s="61"/>
      <c r="G935"/>
      <c r="H935"/>
      <c r="I935" s="78"/>
      <c r="J935" s="76"/>
      <c r="K935" s="107"/>
      <c r="L935" s="99"/>
      <c r="M935" s="67"/>
      <c r="N935" s="77"/>
    </row>
    <row r="936" spans="2:14" x14ac:dyDescent="0.35">
      <c r="B936" s="58"/>
      <c r="C936" s="59"/>
      <c r="D936" s="59"/>
      <c r="E936" s="60"/>
      <c r="F936" s="61"/>
      <c r="G936"/>
      <c r="H936"/>
      <c r="I936" s="78"/>
      <c r="J936" s="76"/>
      <c r="K936" s="107"/>
      <c r="L936" s="99"/>
      <c r="M936" s="67"/>
      <c r="N936" s="77"/>
    </row>
    <row r="937" spans="2:14" x14ac:dyDescent="0.35">
      <c r="B937" s="58"/>
      <c r="C937" s="59"/>
      <c r="D937" s="59"/>
      <c r="E937" s="60"/>
      <c r="F937" s="61"/>
      <c r="G937"/>
      <c r="H937"/>
      <c r="I937" s="78"/>
      <c r="J937" s="76"/>
      <c r="K937" s="107"/>
      <c r="L937" s="99"/>
      <c r="M937" s="67"/>
      <c r="N937" s="77"/>
    </row>
    <row r="938" spans="2:14" x14ac:dyDescent="0.35">
      <c r="B938" s="58"/>
      <c r="C938" s="59"/>
      <c r="D938" s="59"/>
      <c r="E938" s="60"/>
      <c r="F938" s="61"/>
      <c r="G938"/>
      <c r="H938"/>
      <c r="I938" s="78"/>
      <c r="J938" s="76"/>
      <c r="K938" s="107"/>
      <c r="L938" s="99"/>
      <c r="M938" s="67"/>
      <c r="N938" s="77"/>
    </row>
    <row r="939" spans="2:14" x14ac:dyDescent="0.35">
      <c r="B939" s="58"/>
      <c r="C939" s="59"/>
      <c r="D939" s="59"/>
      <c r="E939" s="60"/>
      <c r="F939" s="61"/>
      <c r="G939"/>
      <c r="H939"/>
      <c r="I939" s="78"/>
      <c r="J939" s="76"/>
      <c r="K939" s="107"/>
      <c r="L939" s="99"/>
      <c r="M939" s="67"/>
      <c r="N939" s="77"/>
    </row>
    <row r="940" spans="2:14" x14ac:dyDescent="0.35">
      <c r="B940" s="58"/>
      <c r="C940" s="59"/>
      <c r="D940" s="59"/>
      <c r="E940" s="60"/>
      <c r="F940" s="61"/>
      <c r="G940"/>
      <c r="H940"/>
      <c r="I940" s="78"/>
      <c r="J940" s="76"/>
      <c r="K940" s="107"/>
      <c r="L940" s="99"/>
      <c r="M940" s="67"/>
      <c r="N940" s="77"/>
    </row>
    <row r="941" spans="2:14" x14ac:dyDescent="0.35">
      <c r="B941" s="58"/>
      <c r="C941" s="59"/>
      <c r="D941" s="59"/>
      <c r="E941" s="60"/>
      <c r="F941" s="61"/>
      <c r="G941"/>
      <c r="H941"/>
      <c r="I941" s="78"/>
      <c r="J941" s="76"/>
      <c r="K941" s="107"/>
      <c r="L941" s="99"/>
      <c r="M941" s="67"/>
      <c r="N941" s="77"/>
    </row>
    <row r="942" spans="2:14" x14ac:dyDescent="0.35">
      <c r="B942" s="58"/>
      <c r="C942" s="59"/>
      <c r="D942" s="59"/>
      <c r="E942" s="60"/>
      <c r="F942" s="61"/>
      <c r="G942"/>
      <c r="H942"/>
      <c r="I942" s="78"/>
      <c r="J942" s="76"/>
      <c r="K942" s="107"/>
      <c r="L942" s="99"/>
      <c r="M942" s="67"/>
      <c r="N942" s="77"/>
    </row>
    <row r="943" spans="2:14" x14ac:dyDescent="0.35">
      <c r="B943" s="58"/>
      <c r="C943" s="59"/>
      <c r="D943" s="59"/>
      <c r="E943" s="60"/>
      <c r="F943" s="61"/>
      <c r="G943"/>
      <c r="H943"/>
      <c r="I943" s="78"/>
      <c r="J943" s="76"/>
      <c r="K943" s="107"/>
      <c r="L943" s="99"/>
      <c r="M943" s="67"/>
      <c r="N943" s="77"/>
    </row>
    <row r="944" spans="2:14" x14ac:dyDescent="0.35">
      <c r="B944" s="58"/>
      <c r="C944" s="59"/>
      <c r="D944" s="59"/>
      <c r="E944" s="60"/>
      <c r="F944" s="61"/>
      <c r="G944"/>
      <c r="H944"/>
      <c r="I944" s="78"/>
      <c r="J944" s="76"/>
      <c r="K944" s="107"/>
      <c r="L944" s="99"/>
      <c r="M944" s="67"/>
      <c r="N944" s="77"/>
    </row>
    <row r="945" spans="2:14" x14ac:dyDescent="0.35">
      <c r="B945" s="58"/>
      <c r="C945" s="59"/>
      <c r="D945" s="59"/>
      <c r="E945" s="60"/>
      <c r="F945" s="61"/>
      <c r="G945"/>
      <c r="H945"/>
      <c r="I945" s="78"/>
      <c r="J945" s="76"/>
      <c r="K945" s="107"/>
      <c r="L945" s="99"/>
      <c r="M945" s="67"/>
      <c r="N945" s="77"/>
    </row>
    <row r="946" spans="2:14" x14ac:dyDescent="0.35">
      <c r="B946" s="58"/>
      <c r="C946" s="59"/>
      <c r="D946" s="59"/>
      <c r="E946" s="60"/>
      <c r="F946" s="61"/>
      <c r="G946"/>
      <c r="H946"/>
      <c r="I946" s="78"/>
      <c r="J946" s="76"/>
      <c r="K946" s="107"/>
      <c r="L946" s="99"/>
      <c r="M946" s="67"/>
      <c r="N946" s="77"/>
    </row>
    <row r="947" spans="2:14" x14ac:dyDescent="0.35">
      <c r="B947" s="58"/>
      <c r="C947" s="59"/>
      <c r="D947" s="59"/>
      <c r="E947" s="60"/>
      <c r="F947" s="61"/>
      <c r="G947"/>
      <c r="H947"/>
      <c r="I947" s="78"/>
      <c r="J947" s="76"/>
      <c r="K947" s="107"/>
      <c r="L947" s="88"/>
      <c r="M947" s="67"/>
      <c r="N947" s="77"/>
    </row>
    <row r="948" spans="2:14" x14ac:dyDescent="0.35">
      <c r="B948" s="58"/>
      <c r="C948" s="59"/>
      <c r="D948" s="59"/>
      <c r="E948" s="60"/>
      <c r="F948" s="61"/>
      <c r="G948"/>
      <c r="H948"/>
      <c r="I948" s="78"/>
      <c r="J948" s="76"/>
      <c r="K948" s="107"/>
      <c r="L948" s="99"/>
      <c r="M948" s="67"/>
      <c r="N948" s="77"/>
    </row>
    <row r="949" spans="2:14" x14ac:dyDescent="0.35">
      <c r="B949" s="58"/>
      <c r="C949" s="59"/>
      <c r="D949" s="59"/>
      <c r="E949" s="60"/>
      <c r="F949" s="61"/>
      <c r="G949"/>
      <c r="H949"/>
      <c r="I949" s="78"/>
      <c r="J949" s="76"/>
      <c r="K949" s="107"/>
      <c r="L949" s="99"/>
      <c r="M949" s="67"/>
      <c r="N949" s="77"/>
    </row>
    <row r="950" spans="2:14" x14ac:dyDescent="0.35">
      <c r="B950" s="58"/>
      <c r="C950" s="59"/>
      <c r="D950" s="59"/>
      <c r="E950" s="60"/>
      <c r="F950" s="61"/>
      <c r="G950"/>
      <c r="H950"/>
      <c r="I950" s="78"/>
      <c r="J950" s="76"/>
      <c r="K950" s="107"/>
      <c r="L950" s="99"/>
      <c r="M950" s="67"/>
      <c r="N950" s="77"/>
    </row>
    <row r="951" spans="2:14" x14ac:dyDescent="0.35">
      <c r="B951" s="58"/>
      <c r="C951" s="59"/>
      <c r="D951" s="59"/>
      <c r="E951" s="60"/>
      <c r="F951" s="61"/>
      <c r="G951"/>
      <c r="H951"/>
      <c r="I951" s="78"/>
      <c r="J951" s="76"/>
      <c r="K951" s="107"/>
      <c r="L951" s="99"/>
      <c r="M951" s="67"/>
      <c r="N951" s="77"/>
    </row>
    <row r="952" spans="2:14" x14ac:dyDescent="0.35">
      <c r="B952" s="58"/>
      <c r="C952" s="59"/>
      <c r="D952" s="59"/>
      <c r="E952" s="60"/>
      <c r="F952" s="61"/>
      <c r="G952"/>
      <c r="H952"/>
      <c r="I952" s="78"/>
      <c r="J952" s="76"/>
      <c r="K952" s="107"/>
      <c r="L952" s="99"/>
      <c r="M952" s="67"/>
      <c r="N952" s="77"/>
    </row>
    <row r="953" spans="2:14" x14ac:dyDescent="0.35">
      <c r="B953" s="58"/>
      <c r="C953" s="59"/>
      <c r="D953" s="59"/>
      <c r="E953" s="60"/>
      <c r="F953" s="61"/>
      <c r="G953"/>
      <c r="H953"/>
      <c r="I953" s="78"/>
      <c r="J953" s="76"/>
      <c r="K953" s="107"/>
      <c r="L953" s="99"/>
      <c r="M953" s="67"/>
      <c r="N953" s="77"/>
    </row>
    <row r="954" spans="2:14" x14ac:dyDescent="0.35">
      <c r="B954" s="58"/>
      <c r="C954" s="59"/>
      <c r="D954" s="59"/>
      <c r="E954" s="60"/>
      <c r="F954" s="61"/>
      <c r="G954"/>
      <c r="H954"/>
      <c r="I954" s="78"/>
      <c r="J954" s="76"/>
      <c r="K954" s="107"/>
      <c r="L954" s="99"/>
      <c r="M954" s="67"/>
      <c r="N954" s="77"/>
    </row>
    <row r="955" spans="2:14" x14ac:dyDescent="0.35">
      <c r="B955" s="58"/>
      <c r="C955" s="59"/>
      <c r="D955" s="59"/>
      <c r="E955" s="60"/>
      <c r="F955" s="61"/>
      <c r="G955"/>
      <c r="H955"/>
      <c r="I955" s="78"/>
      <c r="J955" s="76"/>
      <c r="K955" s="107"/>
      <c r="L955" s="99"/>
      <c r="M955" s="67"/>
      <c r="N955" s="77"/>
    </row>
    <row r="956" spans="2:14" x14ac:dyDescent="0.35">
      <c r="B956" s="58"/>
      <c r="C956" s="59"/>
      <c r="D956" s="59"/>
      <c r="E956" s="60"/>
      <c r="F956" s="61"/>
      <c r="G956"/>
      <c r="H956"/>
      <c r="I956" s="78"/>
      <c r="J956" s="76"/>
      <c r="K956" s="107"/>
      <c r="L956" s="99"/>
      <c r="M956" s="67"/>
      <c r="N956" s="77"/>
    </row>
    <row r="957" spans="2:14" x14ac:dyDescent="0.35">
      <c r="B957" s="58"/>
      <c r="C957" s="59"/>
      <c r="D957" s="59"/>
      <c r="E957" s="60"/>
      <c r="F957" s="61"/>
      <c r="G957"/>
      <c r="H957"/>
      <c r="I957" s="78"/>
      <c r="J957" s="76"/>
      <c r="K957" s="107"/>
      <c r="L957" s="99"/>
      <c r="M957" s="67"/>
      <c r="N957" s="77"/>
    </row>
    <row r="958" spans="2:14" x14ac:dyDescent="0.35">
      <c r="B958" s="58"/>
      <c r="C958" s="59"/>
      <c r="D958" s="59"/>
      <c r="E958" s="60"/>
      <c r="F958" s="61"/>
      <c r="G958"/>
      <c r="H958"/>
      <c r="I958" s="78"/>
      <c r="J958" s="76"/>
      <c r="K958" s="107"/>
      <c r="L958" s="99"/>
      <c r="M958" s="67"/>
      <c r="N958" s="77"/>
    </row>
    <row r="959" spans="2:14" x14ac:dyDescent="0.35">
      <c r="B959" s="58"/>
      <c r="C959" s="59"/>
      <c r="D959" s="59"/>
      <c r="E959" s="60"/>
      <c r="F959" s="61"/>
      <c r="G959"/>
      <c r="H959"/>
      <c r="I959" s="78"/>
      <c r="J959" s="76"/>
      <c r="K959" s="107"/>
      <c r="L959" s="99"/>
      <c r="M959" s="67"/>
      <c r="N959" s="77"/>
    </row>
    <row r="960" spans="2:14" x14ac:dyDescent="0.35">
      <c r="B960" s="58"/>
      <c r="C960" s="59"/>
      <c r="D960" s="59"/>
      <c r="E960" s="60"/>
      <c r="F960" s="61"/>
      <c r="G960"/>
      <c r="H960"/>
      <c r="I960" s="78"/>
      <c r="J960" s="76"/>
      <c r="K960" s="107"/>
      <c r="L960" s="99"/>
      <c r="M960" s="67"/>
      <c r="N960" s="77"/>
    </row>
    <row r="961" spans="2:14" x14ac:dyDescent="0.35">
      <c r="B961" s="58"/>
      <c r="C961" s="59"/>
      <c r="D961" s="59"/>
      <c r="E961" s="60"/>
      <c r="F961" s="61"/>
      <c r="G961"/>
      <c r="H961"/>
      <c r="I961" s="78"/>
      <c r="J961" s="76"/>
      <c r="K961" s="107"/>
      <c r="L961" s="99"/>
      <c r="M961" s="67"/>
      <c r="N961" s="77"/>
    </row>
    <row r="962" spans="2:14" x14ac:dyDescent="0.35">
      <c r="B962" s="58"/>
      <c r="C962" s="59"/>
      <c r="D962" s="59"/>
      <c r="E962" s="60"/>
      <c r="F962" s="61"/>
      <c r="G962"/>
      <c r="H962"/>
      <c r="I962" s="78"/>
      <c r="J962" s="76"/>
      <c r="K962" s="107"/>
      <c r="L962" s="99"/>
      <c r="M962" s="67"/>
      <c r="N962" s="77"/>
    </row>
    <row r="963" spans="2:14" x14ac:dyDescent="0.35">
      <c r="B963" s="58"/>
      <c r="C963" s="59"/>
      <c r="D963" s="59"/>
      <c r="E963" s="60"/>
      <c r="F963" s="61"/>
      <c r="G963"/>
      <c r="H963"/>
      <c r="I963" s="78"/>
      <c r="J963" s="76"/>
      <c r="K963" s="107"/>
      <c r="L963" s="99"/>
      <c r="M963" s="67"/>
      <c r="N963" s="77"/>
    </row>
    <row r="964" spans="2:14" x14ac:dyDescent="0.35">
      <c r="B964" s="58"/>
      <c r="C964" s="59"/>
      <c r="D964" s="59"/>
      <c r="E964" s="60"/>
      <c r="F964" s="61"/>
      <c r="G964"/>
      <c r="H964"/>
      <c r="I964" s="78"/>
      <c r="J964" s="76"/>
      <c r="K964" s="107"/>
      <c r="L964" s="99"/>
      <c r="M964" s="67"/>
      <c r="N964" s="77"/>
    </row>
    <row r="965" spans="2:14" x14ac:dyDescent="0.35">
      <c r="B965" s="58"/>
      <c r="C965" s="59"/>
      <c r="D965" s="59"/>
      <c r="E965" s="60"/>
      <c r="F965" s="61"/>
      <c r="G965"/>
      <c r="H965"/>
      <c r="I965" s="78"/>
      <c r="J965" s="76"/>
      <c r="K965" s="107"/>
      <c r="L965" s="99"/>
      <c r="M965" s="67"/>
      <c r="N965" s="77"/>
    </row>
    <row r="966" spans="2:14" x14ac:dyDescent="0.35">
      <c r="B966" s="58"/>
      <c r="C966" s="59"/>
      <c r="D966" s="59"/>
      <c r="E966" s="60"/>
      <c r="F966" s="61"/>
      <c r="G966"/>
      <c r="H966"/>
      <c r="I966" s="78"/>
      <c r="J966" s="76"/>
      <c r="K966" s="107"/>
      <c r="L966" s="99"/>
      <c r="M966" s="67"/>
      <c r="N966" s="77"/>
    </row>
    <row r="967" spans="2:14" x14ac:dyDescent="0.35">
      <c r="B967" s="58"/>
      <c r="C967" s="59"/>
      <c r="D967" s="59"/>
      <c r="E967" s="60"/>
      <c r="F967" s="61"/>
      <c r="G967"/>
      <c r="H967"/>
      <c r="I967" s="78"/>
      <c r="J967" s="76"/>
      <c r="K967" s="107"/>
      <c r="L967" s="99"/>
      <c r="M967" s="67"/>
      <c r="N967" s="77"/>
    </row>
    <row r="968" spans="2:14" x14ac:dyDescent="0.35">
      <c r="B968" s="58"/>
      <c r="C968" s="59"/>
      <c r="D968" s="59"/>
      <c r="E968" s="60"/>
      <c r="F968" s="61"/>
      <c r="G968"/>
      <c r="H968"/>
      <c r="I968" s="78"/>
      <c r="J968" s="76"/>
      <c r="K968" s="107"/>
      <c r="L968" s="99"/>
      <c r="M968" s="67"/>
      <c r="N968" s="77"/>
    </row>
    <row r="969" spans="2:14" x14ac:dyDescent="0.35">
      <c r="B969" s="58"/>
      <c r="C969" s="59"/>
      <c r="D969" s="59"/>
      <c r="E969" s="60"/>
      <c r="F969" s="61"/>
      <c r="G969"/>
      <c r="H969"/>
      <c r="I969" s="78"/>
      <c r="J969" s="76"/>
      <c r="K969" s="107"/>
      <c r="L969" s="99"/>
      <c r="M969" s="67"/>
      <c r="N969" s="77"/>
    </row>
    <row r="970" spans="2:14" x14ac:dyDescent="0.35">
      <c r="B970" s="58"/>
      <c r="C970" s="59"/>
      <c r="D970" s="59"/>
      <c r="E970" s="60"/>
      <c r="F970" s="61"/>
      <c r="G970"/>
      <c r="H970"/>
      <c r="I970" s="78"/>
      <c r="J970" s="76"/>
      <c r="K970" s="107"/>
      <c r="L970" s="99"/>
      <c r="M970" s="67"/>
      <c r="N970" s="77"/>
    </row>
    <row r="971" spans="2:14" x14ac:dyDescent="0.35">
      <c r="B971" s="58"/>
      <c r="C971" s="59"/>
      <c r="D971" s="59"/>
      <c r="E971" s="60"/>
      <c r="F971" s="61"/>
      <c r="G971"/>
      <c r="H971"/>
      <c r="I971" s="78"/>
      <c r="J971" s="76"/>
      <c r="K971" s="107"/>
      <c r="L971" s="99"/>
      <c r="M971" s="67"/>
      <c r="N971" s="77"/>
    </row>
    <row r="972" spans="2:14" x14ac:dyDescent="0.35">
      <c r="B972" s="58"/>
      <c r="C972" s="59"/>
      <c r="D972" s="59"/>
      <c r="E972" s="60"/>
      <c r="F972" s="61"/>
      <c r="G972"/>
      <c r="H972"/>
      <c r="I972" s="78"/>
      <c r="J972" s="76"/>
      <c r="K972" s="107"/>
      <c r="L972" s="99"/>
      <c r="M972" s="67"/>
      <c r="N972" s="77"/>
    </row>
    <row r="973" spans="2:14" x14ac:dyDescent="0.35">
      <c r="B973" s="58"/>
      <c r="C973" s="59"/>
      <c r="D973" s="59"/>
      <c r="E973" s="60"/>
      <c r="F973" s="61"/>
      <c r="G973"/>
      <c r="H973"/>
      <c r="I973" s="78"/>
      <c r="J973" s="76"/>
      <c r="K973" s="107"/>
      <c r="L973" s="99"/>
      <c r="M973" s="67"/>
      <c r="N973" s="77"/>
    </row>
    <row r="974" spans="2:14" x14ac:dyDescent="0.35">
      <c r="B974" s="58"/>
      <c r="C974" s="59"/>
      <c r="D974" s="59"/>
      <c r="E974" s="60"/>
      <c r="F974" s="61"/>
      <c r="G974"/>
      <c r="H974"/>
      <c r="I974" s="78"/>
      <c r="J974" s="76"/>
      <c r="K974" s="107"/>
      <c r="L974" s="99"/>
      <c r="M974" s="67"/>
      <c r="N974" s="77"/>
    </row>
    <row r="975" spans="2:14" x14ac:dyDescent="0.35">
      <c r="B975" s="58"/>
      <c r="C975" s="59"/>
      <c r="D975" s="59"/>
      <c r="E975" s="60"/>
      <c r="F975" s="61"/>
      <c r="G975"/>
      <c r="H975"/>
      <c r="I975" s="78"/>
      <c r="J975" s="76"/>
      <c r="K975" s="107"/>
      <c r="L975" s="99"/>
      <c r="M975" s="67"/>
      <c r="N975" s="77"/>
    </row>
    <row r="976" spans="2:14" x14ac:dyDescent="0.35">
      <c r="B976" s="58"/>
      <c r="C976" s="59"/>
      <c r="D976" s="59"/>
      <c r="E976" s="60"/>
      <c r="F976" s="61"/>
      <c r="G976"/>
      <c r="H976"/>
      <c r="I976" s="78"/>
      <c r="J976" s="76"/>
      <c r="K976" s="107"/>
      <c r="L976" s="99"/>
      <c r="M976" s="67"/>
      <c r="N976" s="77"/>
    </row>
    <row r="977" spans="2:14" x14ac:dyDescent="0.35">
      <c r="B977" s="58"/>
      <c r="C977" s="59"/>
      <c r="D977" s="59"/>
      <c r="E977" s="60"/>
      <c r="F977" s="61"/>
      <c r="G977"/>
      <c r="H977"/>
      <c r="I977" s="78"/>
      <c r="J977" s="109"/>
      <c r="K977" s="106"/>
      <c r="L977" s="98"/>
      <c r="M977" s="67"/>
      <c r="N977" s="77"/>
    </row>
    <row r="978" spans="2:14" x14ac:dyDescent="0.35">
      <c r="B978" s="58"/>
      <c r="C978" s="59"/>
      <c r="D978" s="59"/>
      <c r="E978" s="60"/>
      <c r="F978" s="61"/>
      <c r="G978"/>
      <c r="H978"/>
      <c r="I978" s="78"/>
      <c r="J978" s="109"/>
      <c r="K978" s="106"/>
      <c r="L978" s="98"/>
      <c r="M978" s="67"/>
      <c r="N978" s="77"/>
    </row>
    <row r="979" spans="2:14" x14ac:dyDescent="0.35">
      <c r="B979" s="58"/>
      <c r="C979" s="59"/>
      <c r="D979" s="59"/>
      <c r="E979" s="60"/>
      <c r="F979" s="61"/>
      <c r="G979"/>
      <c r="H979"/>
      <c r="I979" s="78"/>
      <c r="J979" s="109"/>
      <c r="K979" s="106"/>
      <c r="L979" s="98"/>
      <c r="M979" s="67"/>
      <c r="N979" s="77"/>
    </row>
    <row r="980" spans="2:14" x14ac:dyDescent="0.35">
      <c r="B980" s="58"/>
      <c r="C980" s="59"/>
      <c r="D980" s="59"/>
      <c r="E980" s="60"/>
      <c r="F980" s="61"/>
      <c r="G980"/>
      <c r="H980"/>
      <c r="I980" s="78"/>
      <c r="J980" s="109"/>
      <c r="K980" s="106"/>
      <c r="L980" s="98"/>
      <c r="M980" s="67"/>
      <c r="N980" s="77"/>
    </row>
    <row r="981" spans="2:14" x14ac:dyDescent="0.35">
      <c r="B981" s="58"/>
      <c r="C981" s="59"/>
      <c r="D981" s="59"/>
      <c r="E981" s="60"/>
      <c r="F981" s="61"/>
      <c r="G981"/>
      <c r="H981"/>
      <c r="I981" s="78"/>
      <c r="J981" s="109"/>
      <c r="K981" s="106"/>
      <c r="L981" s="98"/>
      <c r="M981" s="67"/>
      <c r="N981" s="77"/>
    </row>
    <row r="982" spans="2:14" x14ac:dyDescent="0.35">
      <c r="B982" s="58"/>
      <c r="C982" s="59"/>
      <c r="D982" s="59"/>
      <c r="E982" s="60"/>
      <c r="F982" s="61"/>
      <c r="G982"/>
      <c r="H982"/>
      <c r="I982" s="78"/>
      <c r="J982" s="109"/>
      <c r="K982" s="106"/>
      <c r="L982" s="98"/>
      <c r="M982" s="67"/>
      <c r="N982" s="77"/>
    </row>
    <row r="983" spans="2:14" x14ac:dyDescent="0.35">
      <c r="B983" s="58"/>
      <c r="C983" s="59"/>
      <c r="D983" s="59"/>
      <c r="E983" s="60"/>
      <c r="F983" s="61"/>
      <c r="G983"/>
      <c r="H983"/>
      <c r="I983" s="78"/>
      <c r="J983" s="76"/>
      <c r="K983" s="107"/>
      <c r="L983" s="99"/>
      <c r="M983" s="67"/>
      <c r="N983" s="77"/>
    </row>
    <row r="984" spans="2:14" x14ac:dyDescent="0.35">
      <c r="B984" s="58"/>
      <c r="C984" s="59"/>
      <c r="D984" s="59"/>
      <c r="E984" s="60"/>
      <c r="F984" s="61"/>
      <c r="G984"/>
      <c r="H984"/>
      <c r="I984" s="78"/>
      <c r="J984" s="76"/>
      <c r="K984" s="107"/>
      <c r="L984" s="99"/>
      <c r="M984" s="67"/>
      <c r="N984" s="77"/>
    </row>
    <row r="985" spans="2:14" x14ac:dyDescent="0.35">
      <c r="B985" s="58"/>
      <c r="C985" s="59"/>
      <c r="D985" s="59"/>
      <c r="E985" s="60"/>
      <c r="F985" s="61"/>
      <c r="G985"/>
      <c r="H985"/>
      <c r="I985" s="78"/>
      <c r="J985" s="76"/>
      <c r="K985" s="107"/>
      <c r="L985" s="99"/>
      <c r="M985" s="67"/>
      <c r="N985" s="77"/>
    </row>
    <row r="986" spans="2:14" x14ac:dyDescent="0.35">
      <c r="B986" s="58"/>
      <c r="C986" s="59"/>
      <c r="D986" s="59"/>
      <c r="E986" s="60"/>
      <c r="F986" s="61"/>
      <c r="G986"/>
      <c r="H986"/>
      <c r="I986" s="78"/>
      <c r="J986" s="76"/>
      <c r="K986" s="107"/>
      <c r="L986" s="99"/>
      <c r="M986" s="67"/>
      <c r="N986" s="77"/>
    </row>
    <row r="987" spans="2:14" x14ac:dyDescent="0.35">
      <c r="B987" s="58"/>
      <c r="C987" s="59"/>
      <c r="D987" s="59"/>
      <c r="E987" s="60"/>
      <c r="F987" s="61"/>
      <c r="G987"/>
      <c r="H987"/>
      <c r="I987" s="78"/>
      <c r="J987" s="76"/>
      <c r="K987" s="107"/>
      <c r="L987" s="99"/>
      <c r="M987" s="67"/>
      <c r="N987" s="77"/>
    </row>
    <row r="988" spans="2:14" x14ac:dyDescent="0.35">
      <c r="B988" s="58"/>
      <c r="C988" s="59"/>
      <c r="D988" s="59"/>
      <c r="E988" s="60"/>
      <c r="F988" s="61"/>
      <c r="G988"/>
      <c r="H988"/>
      <c r="I988" s="78"/>
      <c r="J988" s="76"/>
      <c r="K988" s="107"/>
      <c r="L988" s="99"/>
      <c r="M988" s="67"/>
      <c r="N988" s="77"/>
    </row>
    <row r="989" spans="2:14" x14ac:dyDescent="0.35">
      <c r="B989" s="58"/>
      <c r="C989" s="59"/>
      <c r="D989" s="59"/>
      <c r="E989" s="60"/>
      <c r="F989" s="61"/>
      <c r="G989"/>
      <c r="H989"/>
      <c r="I989" s="78"/>
      <c r="J989" s="109"/>
      <c r="K989" s="106"/>
      <c r="L989" s="98"/>
      <c r="M989" s="67"/>
      <c r="N989" s="77"/>
    </row>
    <row r="990" spans="2:14" x14ac:dyDescent="0.35">
      <c r="B990" s="58"/>
      <c r="C990" s="59"/>
      <c r="D990" s="59"/>
      <c r="E990" s="60"/>
      <c r="F990" s="61"/>
      <c r="G990"/>
      <c r="H990"/>
      <c r="I990" s="78"/>
      <c r="J990" s="109"/>
      <c r="K990" s="106"/>
      <c r="L990" s="98"/>
      <c r="M990" s="67"/>
      <c r="N990" s="77"/>
    </row>
    <row r="991" spans="2:14" x14ac:dyDescent="0.35">
      <c r="B991" s="58"/>
      <c r="C991" s="59"/>
      <c r="D991" s="59"/>
      <c r="E991" s="60"/>
      <c r="F991" s="61"/>
      <c r="G991"/>
      <c r="H991"/>
      <c r="I991" s="78"/>
      <c r="J991" s="109"/>
      <c r="K991" s="106"/>
      <c r="L991" s="98"/>
      <c r="M991" s="67"/>
      <c r="N991" s="77"/>
    </row>
    <row r="992" spans="2:14" x14ac:dyDescent="0.35">
      <c r="B992" s="58"/>
      <c r="C992" s="59"/>
      <c r="D992" s="59"/>
      <c r="E992" s="60"/>
      <c r="F992" s="61"/>
      <c r="G992"/>
      <c r="H992"/>
      <c r="I992" s="78"/>
      <c r="J992" s="109"/>
      <c r="K992" s="106"/>
      <c r="L992" s="98"/>
      <c r="M992" s="67"/>
      <c r="N992" s="77"/>
    </row>
    <row r="993" spans="2:14" x14ac:dyDescent="0.35">
      <c r="B993" s="58"/>
      <c r="C993" s="59"/>
      <c r="D993" s="59"/>
      <c r="E993" s="60"/>
      <c r="F993" s="61"/>
      <c r="G993"/>
      <c r="H993"/>
      <c r="I993" s="78"/>
      <c r="J993" s="109"/>
      <c r="K993" s="106"/>
      <c r="L993" s="98"/>
      <c r="M993" s="67"/>
      <c r="N993" s="77"/>
    </row>
    <row r="994" spans="2:14" x14ac:dyDescent="0.35">
      <c r="B994" s="58"/>
      <c r="C994" s="59"/>
      <c r="D994" s="59"/>
      <c r="E994" s="60"/>
      <c r="F994" s="61"/>
      <c r="G994"/>
      <c r="H994"/>
      <c r="I994" s="78"/>
      <c r="J994" s="76"/>
      <c r="K994" s="107"/>
      <c r="L994" s="99"/>
      <c r="M994" s="67"/>
      <c r="N994" s="77"/>
    </row>
    <row r="995" spans="2:14" x14ac:dyDescent="0.35">
      <c r="B995" s="58"/>
      <c r="C995" s="59"/>
      <c r="D995" s="59"/>
      <c r="E995" s="60"/>
      <c r="F995" s="61"/>
      <c r="G995"/>
      <c r="H995"/>
      <c r="I995" s="78"/>
      <c r="J995" s="109"/>
      <c r="K995" s="107"/>
      <c r="L995" s="99"/>
      <c r="M995" s="67"/>
      <c r="N995" s="77"/>
    </row>
    <row r="996" spans="2:14" x14ac:dyDescent="0.35">
      <c r="B996" s="58"/>
      <c r="C996" s="59"/>
      <c r="D996" s="59"/>
      <c r="E996" s="60"/>
      <c r="F996" s="61"/>
      <c r="G996"/>
      <c r="H996"/>
      <c r="I996" s="78"/>
      <c r="J996" s="109"/>
      <c r="K996" s="106"/>
      <c r="L996" s="98"/>
      <c r="M996" s="83"/>
      <c r="N996" s="77"/>
    </row>
    <row r="997" spans="2:14" x14ac:dyDescent="0.35">
      <c r="B997" s="58"/>
      <c r="C997" s="59"/>
      <c r="D997" s="59"/>
      <c r="E997" s="60"/>
      <c r="F997" s="61"/>
      <c r="G997"/>
      <c r="H997"/>
      <c r="I997" s="78"/>
      <c r="J997" s="109"/>
      <c r="K997" s="106"/>
      <c r="L997" s="98"/>
      <c r="M997" s="83"/>
      <c r="N997" s="77"/>
    </row>
    <row r="998" spans="2:14" x14ac:dyDescent="0.35">
      <c r="B998" s="58"/>
      <c r="C998" s="59"/>
      <c r="D998" s="59"/>
      <c r="E998" s="60"/>
      <c r="F998" s="61"/>
      <c r="G998"/>
      <c r="H998"/>
      <c r="I998" s="78"/>
      <c r="J998" s="109"/>
      <c r="K998" s="106"/>
      <c r="L998" s="98"/>
      <c r="M998" s="67"/>
      <c r="N998" s="77"/>
    </row>
    <row r="999" spans="2:14" x14ac:dyDescent="0.35">
      <c r="B999" s="58"/>
      <c r="C999" s="59"/>
      <c r="D999" s="59"/>
      <c r="E999" s="60"/>
      <c r="F999" s="61"/>
      <c r="G999"/>
      <c r="H999"/>
      <c r="I999" s="78"/>
      <c r="J999" s="109"/>
      <c r="K999" s="106"/>
      <c r="L999" s="98"/>
      <c r="M999" s="67"/>
      <c r="N999" s="77"/>
    </row>
    <row r="1000" spans="2:14" x14ac:dyDescent="0.35">
      <c r="B1000" s="58"/>
      <c r="C1000" s="59"/>
      <c r="D1000" s="59"/>
      <c r="E1000" s="60"/>
      <c r="F1000" s="61"/>
      <c r="G1000"/>
      <c r="H1000"/>
      <c r="I1000" s="78"/>
      <c r="J1000" s="109"/>
      <c r="K1000" s="108"/>
      <c r="L1000" s="98"/>
      <c r="M1000" s="67"/>
      <c r="N1000" s="77"/>
    </row>
    <row r="1001" spans="2:14" x14ac:dyDescent="0.35">
      <c r="B1001" s="58"/>
      <c r="C1001" s="59"/>
      <c r="D1001" s="59"/>
      <c r="E1001" s="60"/>
      <c r="F1001" s="61"/>
      <c r="G1001"/>
      <c r="H1001"/>
      <c r="I1001" s="78"/>
      <c r="J1001" s="109"/>
      <c r="K1001" s="108"/>
      <c r="L1001" s="98"/>
      <c r="M1001" s="67"/>
      <c r="N1001" s="77"/>
    </row>
    <row r="1002" spans="2:14" x14ac:dyDescent="0.35">
      <c r="B1002" s="58"/>
      <c r="C1002" s="59"/>
      <c r="D1002" s="59"/>
      <c r="E1002" s="60"/>
      <c r="F1002" s="61"/>
      <c r="G1002"/>
      <c r="H1002"/>
      <c r="I1002" s="78"/>
      <c r="J1002" s="76"/>
      <c r="K1002" s="107"/>
      <c r="L1002" s="99"/>
      <c r="M1002" s="67"/>
      <c r="N1002" s="77"/>
    </row>
    <row r="1003" spans="2:14" x14ac:dyDescent="0.35">
      <c r="B1003" s="58"/>
      <c r="C1003" s="59"/>
      <c r="D1003" s="59"/>
      <c r="E1003" s="60"/>
      <c r="F1003" s="61"/>
      <c r="G1003"/>
      <c r="H1003"/>
      <c r="I1003" s="78"/>
      <c r="J1003" s="76"/>
      <c r="K1003" s="107"/>
      <c r="L1003" s="99"/>
      <c r="M1003" s="67"/>
      <c r="N1003" s="77"/>
    </row>
    <row r="1004" spans="2:14" x14ac:dyDescent="0.35">
      <c r="B1004" s="58"/>
      <c r="C1004" s="59"/>
      <c r="D1004" s="59"/>
      <c r="E1004" s="60"/>
      <c r="F1004" s="61"/>
      <c r="G1004"/>
      <c r="H1004"/>
      <c r="I1004" s="78"/>
      <c r="J1004" s="76"/>
      <c r="K1004" s="107"/>
      <c r="L1004" s="99"/>
      <c r="M1004" s="67"/>
      <c r="N1004" s="77"/>
    </row>
    <row r="1005" spans="2:14" x14ac:dyDescent="0.35">
      <c r="B1005" s="58"/>
      <c r="C1005" s="59"/>
      <c r="D1005" s="59"/>
      <c r="E1005" s="60"/>
      <c r="F1005" s="61"/>
      <c r="G1005"/>
      <c r="H1005"/>
      <c r="I1005" s="78"/>
      <c r="J1005" s="76"/>
      <c r="K1005" s="107"/>
      <c r="L1005" s="99"/>
      <c r="M1005" s="67"/>
      <c r="N1005" s="77"/>
    </row>
    <row r="1006" spans="2:14" x14ac:dyDescent="0.35">
      <c r="B1006" s="58"/>
      <c r="C1006" s="59"/>
      <c r="D1006" s="59"/>
      <c r="E1006" s="60"/>
      <c r="F1006" s="61"/>
      <c r="G1006"/>
      <c r="H1006"/>
      <c r="I1006" s="78"/>
      <c r="J1006" s="76"/>
      <c r="K1006" s="107"/>
      <c r="L1006" s="99"/>
      <c r="M1006" s="67"/>
      <c r="N1006" s="77"/>
    </row>
    <row r="1007" spans="2:14" x14ac:dyDescent="0.35">
      <c r="B1007" s="58"/>
      <c r="C1007" s="59"/>
      <c r="D1007" s="59"/>
      <c r="E1007" s="60"/>
      <c r="F1007" s="61"/>
      <c r="G1007"/>
      <c r="H1007"/>
      <c r="I1007" s="78"/>
      <c r="J1007" s="76"/>
      <c r="K1007" s="107"/>
      <c r="L1007" s="99"/>
      <c r="M1007" s="67"/>
      <c r="N1007" s="77"/>
    </row>
    <row r="1008" spans="2:14" x14ac:dyDescent="0.35">
      <c r="B1008" s="58"/>
      <c r="C1008" s="59"/>
      <c r="D1008" s="59"/>
      <c r="E1008" s="60"/>
      <c r="F1008" s="61"/>
      <c r="G1008"/>
      <c r="H1008"/>
      <c r="I1008" s="78"/>
      <c r="J1008" s="109"/>
      <c r="K1008" s="106"/>
      <c r="L1008" s="98"/>
      <c r="M1008" s="67"/>
      <c r="N1008" s="77"/>
    </row>
    <row r="1009" spans="2:14" x14ac:dyDescent="0.35">
      <c r="B1009" s="58"/>
      <c r="C1009" s="59"/>
      <c r="D1009" s="59"/>
      <c r="E1009" s="60"/>
      <c r="F1009" s="61"/>
      <c r="G1009"/>
      <c r="H1009"/>
      <c r="I1009" s="78"/>
      <c r="J1009" s="109"/>
      <c r="K1009" s="107"/>
      <c r="L1009" s="99"/>
      <c r="M1009" s="67"/>
      <c r="N1009" s="77"/>
    </row>
    <row r="1010" spans="2:14" x14ac:dyDescent="0.35">
      <c r="B1010" s="58"/>
      <c r="C1010" s="59"/>
      <c r="D1010" s="59"/>
      <c r="E1010" s="60"/>
      <c r="F1010" s="61"/>
      <c r="G1010"/>
      <c r="H1010"/>
      <c r="I1010" s="78"/>
      <c r="J1010" s="76"/>
      <c r="K1010" s="107"/>
      <c r="L1010" s="99"/>
      <c r="M1010" s="67"/>
      <c r="N1010" s="77"/>
    </row>
    <row r="1011" spans="2:14" x14ac:dyDescent="0.35">
      <c r="B1011" s="58"/>
      <c r="C1011" s="59"/>
      <c r="D1011" s="59"/>
      <c r="E1011" s="60"/>
      <c r="F1011" s="61"/>
      <c r="G1011"/>
      <c r="H1011"/>
      <c r="I1011" s="78"/>
      <c r="J1011" s="76"/>
      <c r="K1011" s="107"/>
      <c r="L1011" s="99"/>
      <c r="M1011" s="67"/>
      <c r="N1011" s="77"/>
    </row>
    <row r="1012" spans="2:14" x14ac:dyDescent="0.35">
      <c r="B1012" s="58"/>
      <c r="C1012" s="59"/>
      <c r="D1012" s="59"/>
      <c r="E1012" s="60"/>
      <c r="F1012" s="61"/>
      <c r="G1012"/>
      <c r="H1012"/>
      <c r="I1012" s="78"/>
      <c r="J1012" s="76"/>
      <c r="K1012" s="107"/>
      <c r="L1012" s="99"/>
      <c r="M1012" s="67"/>
      <c r="N1012" s="77"/>
    </row>
    <row r="1013" spans="2:14" x14ac:dyDescent="0.35">
      <c r="B1013" s="58"/>
      <c r="C1013" s="59"/>
      <c r="D1013" s="59"/>
      <c r="E1013" s="60"/>
      <c r="F1013" s="61"/>
      <c r="G1013"/>
      <c r="H1013"/>
      <c r="I1013" s="78"/>
      <c r="J1013" s="76"/>
      <c r="K1013" s="107"/>
      <c r="L1013" s="99"/>
      <c r="M1013" s="67"/>
      <c r="N1013" s="77"/>
    </row>
    <row r="1014" spans="2:14" x14ac:dyDescent="0.35">
      <c r="B1014" s="58"/>
      <c r="C1014" s="59"/>
      <c r="D1014" s="59"/>
      <c r="E1014" s="60"/>
      <c r="F1014" s="61"/>
      <c r="G1014"/>
      <c r="H1014"/>
      <c r="I1014" s="78"/>
      <c r="J1014" s="76"/>
      <c r="K1014" s="107"/>
      <c r="L1014" s="99"/>
      <c r="M1014" s="67"/>
      <c r="N1014" s="77"/>
    </row>
    <row r="1015" spans="2:14" x14ac:dyDescent="0.35">
      <c r="B1015" s="58"/>
      <c r="C1015" s="59"/>
      <c r="D1015" s="59"/>
      <c r="E1015" s="60"/>
      <c r="F1015" s="61"/>
      <c r="G1015"/>
      <c r="H1015"/>
      <c r="I1015" s="78"/>
      <c r="J1015" s="109"/>
      <c r="K1015" s="106"/>
      <c r="L1015" s="98"/>
      <c r="M1015" s="67"/>
      <c r="N1015" s="77"/>
    </row>
    <row r="1016" spans="2:14" x14ac:dyDescent="0.35">
      <c r="B1016" s="58"/>
      <c r="C1016" s="59"/>
      <c r="D1016" s="59"/>
      <c r="E1016" s="60"/>
      <c r="F1016" s="61"/>
      <c r="G1016"/>
      <c r="H1016"/>
      <c r="I1016" s="78"/>
      <c r="J1016" s="109"/>
      <c r="K1016" s="106"/>
      <c r="L1016" s="98"/>
      <c r="M1016" s="83"/>
      <c r="N1016" s="77"/>
    </row>
    <row r="1017" spans="2:14" x14ac:dyDescent="0.35">
      <c r="B1017" s="58"/>
      <c r="C1017" s="59"/>
      <c r="D1017" s="59"/>
      <c r="E1017" s="60"/>
      <c r="F1017" s="61"/>
      <c r="G1017"/>
      <c r="H1017"/>
      <c r="I1017" s="78"/>
      <c r="J1017" s="109"/>
      <c r="K1017" s="106"/>
      <c r="L1017" s="98"/>
      <c r="M1017" s="83"/>
      <c r="N1017" s="77"/>
    </row>
    <row r="1018" spans="2:14" x14ac:dyDescent="0.35">
      <c r="B1018" s="58"/>
      <c r="C1018" s="59"/>
      <c r="D1018" s="59"/>
      <c r="E1018" s="60"/>
      <c r="F1018" s="61"/>
      <c r="G1018"/>
      <c r="H1018"/>
      <c r="I1018" s="78"/>
      <c r="J1018" s="109"/>
      <c r="K1018" s="106"/>
      <c r="L1018" s="98"/>
      <c r="M1018" s="67"/>
      <c r="N1018" s="77"/>
    </row>
    <row r="1019" spans="2:14" x14ac:dyDescent="0.35">
      <c r="B1019" s="58"/>
      <c r="C1019" s="59"/>
      <c r="D1019" s="59"/>
      <c r="E1019" s="60"/>
      <c r="F1019" s="61"/>
      <c r="G1019"/>
      <c r="H1019"/>
      <c r="I1019" s="78"/>
      <c r="J1019" s="109"/>
      <c r="K1019" s="106"/>
      <c r="L1019" s="98"/>
      <c r="M1019" s="67"/>
      <c r="N1019" s="77"/>
    </row>
    <row r="1020" spans="2:14" x14ac:dyDescent="0.35">
      <c r="B1020" s="58"/>
      <c r="C1020" s="59"/>
      <c r="D1020" s="59"/>
      <c r="E1020" s="60"/>
      <c r="F1020" s="61"/>
      <c r="G1020"/>
      <c r="H1020"/>
      <c r="I1020" s="78"/>
      <c r="J1020" s="109"/>
      <c r="K1020" s="106"/>
      <c r="L1020" s="98"/>
      <c r="M1020" s="67"/>
      <c r="N1020" s="77"/>
    </row>
    <row r="1021" spans="2:14" x14ac:dyDescent="0.35">
      <c r="B1021" s="58"/>
      <c r="C1021" s="59"/>
      <c r="D1021" s="59"/>
      <c r="E1021" s="60"/>
      <c r="F1021" s="61"/>
      <c r="G1021"/>
      <c r="H1021"/>
      <c r="I1021" s="78"/>
      <c r="J1021" s="109"/>
      <c r="K1021" s="106"/>
      <c r="L1021" s="98"/>
      <c r="M1021" s="67"/>
      <c r="N1021" s="77"/>
    </row>
    <row r="1022" spans="2:14" x14ac:dyDescent="0.35">
      <c r="B1022" s="58"/>
      <c r="C1022" s="59"/>
      <c r="D1022" s="59"/>
      <c r="E1022" s="60"/>
      <c r="F1022" s="61"/>
      <c r="G1022"/>
      <c r="H1022"/>
      <c r="I1022" s="78"/>
      <c r="J1022" s="109"/>
      <c r="K1022" s="106"/>
      <c r="L1022" s="98"/>
      <c r="M1022" s="67"/>
      <c r="N1022" s="77"/>
    </row>
    <row r="1023" spans="2:14" x14ac:dyDescent="0.35">
      <c r="B1023" s="58"/>
      <c r="C1023" s="59"/>
      <c r="D1023" s="59"/>
      <c r="E1023" s="60"/>
      <c r="F1023" s="61"/>
      <c r="G1023"/>
      <c r="H1023"/>
      <c r="I1023" s="78"/>
      <c r="J1023" s="109"/>
      <c r="K1023" s="106"/>
      <c r="L1023" s="98"/>
      <c r="M1023" s="67"/>
      <c r="N1023" s="77"/>
    </row>
    <row r="1024" spans="2:14" x14ac:dyDescent="0.35">
      <c r="B1024" s="58"/>
      <c r="C1024" s="59"/>
      <c r="D1024" s="59"/>
      <c r="E1024" s="60"/>
      <c r="F1024" s="61"/>
      <c r="G1024"/>
      <c r="H1024"/>
      <c r="I1024" s="78"/>
      <c r="J1024" s="109"/>
      <c r="K1024" s="106"/>
      <c r="L1024" s="98"/>
      <c r="M1024" s="67"/>
      <c r="N1024" s="77"/>
    </row>
    <row r="1025" spans="2:14" x14ac:dyDescent="0.35">
      <c r="B1025" s="58"/>
      <c r="C1025" s="59"/>
      <c r="D1025" s="59"/>
      <c r="E1025" s="60"/>
      <c r="F1025" s="61"/>
      <c r="G1025"/>
      <c r="H1025"/>
      <c r="I1025" s="78"/>
      <c r="J1025" s="109"/>
      <c r="K1025" s="106"/>
      <c r="L1025" s="98"/>
      <c r="M1025" s="67"/>
      <c r="N1025" s="77"/>
    </row>
    <row r="1026" spans="2:14" x14ac:dyDescent="0.35">
      <c r="B1026" s="58"/>
      <c r="C1026" s="59"/>
      <c r="D1026" s="59"/>
      <c r="E1026" s="60"/>
      <c r="F1026" s="61"/>
      <c r="G1026"/>
      <c r="H1026"/>
      <c r="I1026" s="78"/>
      <c r="J1026" s="76"/>
      <c r="K1026" s="107"/>
      <c r="L1026" s="99"/>
      <c r="M1026" s="67"/>
      <c r="N1026" s="77"/>
    </row>
    <row r="1027" spans="2:14" x14ac:dyDescent="0.35">
      <c r="B1027" s="58"/>
      <c r="C1027" s="59"/>
      <c r="D1027" s="59"/>
      <c r="E1027" s="60"/>
      <c r="F1027" s="61"/>
      <c r="G1027"/>
      <c r="H1027"/>
      <c r="I1027" s="78"/>
      <c r="J1027" s="109"/>
      <c r="K1027" s="106"/>
      <c r="L1027" s="98"/>
      <c r="M1027" s="67"/>
      <c r="N1027" s="77"/>
    </row>
    <row r="1028" spans="2:14" x14ac:dyDescent="0.35">
      <c r="B1028" s="58"/>
      <c r="C1028" s="59"/>
      <c r="D1028" s="59"/>
      <c r="E1028" s="60"/>
      <c r="F1028" s="61"/>
      <c r="G1028"/>
      <c r="H1028"/>
      <c r="I1028" s="78"/>
      <c r="J1028" s="109"/>
      <c r="K1028" s="106"/>
      <c r="L1028" s="98"/>
      <c r="M1028" s="67"/>
      <c r="N1028" s="77"/>
    </row>
    <row r="1029" spans="2:14" x14ac:dyDescent="0.35">
      <c r="B1029" s="58"/>
      <c r="C1029" s="59"/>
      <c r="D1029" s="59"/>
      <c r="E1029" s="60"/>
      <c r="F1029" s="61"/>
      <c r="G1029"/>
      <c r="H1029"/>
      <c r="I1029" s="78"/>
      <c r="J1029" s="109"/>
      <c r="K1029" s="106"/>
      <c r="L1029" s="98"/>
      <c r="M1029" s="67"/>
      <c r="N1029" s="77"/>
    </row>
    <row r="1030" spans="2:14" x14ac:dyDescent="0.35">
      <c r="B1030" s="58"/>
      <c r="C1030" s="59"/>
      <c r="D1030" s="59"/>
      <c r="E1030" s="60"/>
      <c r="F1030" s="61"/>
      <c r="G1030"/>
      <c r="H1030"/>
      <c r="I1030" s="78"/>
      <c r="J1030" s="109"/>
      <c r="K1030" s="106"/>
      <c r="L1030" s="98"/>
      <c r="M1030" s="67"/>
      <c r="N1030" s="77"/>
    </row>
    <row r="1031" spans="2:14" x14ac:dyDescent="0.35">
      <c r="B1031" s="58"/>
      <c r="C1031" s="59"/>
      <c r="D1031" s="59"/>
      <c r="E1031" s="60"/>
      <c r="F1031" s="61"/>
      <c r="G1031"/>
      <c r="H1031"/>
      <c r="I1031" s="78"/>
      <c r="J1031" s="109"/>
      <c r="K1031" s="106"/>
      <c r="L1031" s="98"/>
      <c r="M1031" s="67"/>
      <c r="N1031" s="77"/>
    </row>
    <row r="1032" spans="2:14" x14ac:dyDescent="0.35">
      <c r="B1032" s="58"/>
      <c r="C1032" s="59"/>
      <c r="D1032" s="59"/>
      <c r="E1032" s="60"/>
      <c r="F1032" s="61"/>
      <c r="G1032"/>
      <c r="H1032"/>
      <c r="I1032" s="78"/>
      <c r="J1032" s="109"/>
      <c r="K1032" s="106"/>
      <c r="L1032" s="98"/>
      <c r="M1032" s="67"/>
      <c r="N1032" s="77"/>
    </row>
    <row r="1033" spans="2:14" x14ac:dyDescent="0.35">
      <c r="B1033" s="58"/>
      <c r="C1033" s="59"/>
      <c r="D1033" s="59"/>
      <c r="E1033" s="60"/>
      <c r="F1033" s="61"/>
      <c r="G1033"/>
      <c r="H1033"/>
      <c r="I1033" s="78"/>
      <c r="J1033" s="109"/>
      <c r="K1033" s="106"/>
      <c r="L1033" s="98"/>
      <c r="M1033" s="67"/>
      <c r="N1033" s="77"/>
    </row>
    <row r="1034" spans="2:14" x14ac:dyDescent="0.35">
      <c r="B1034" s="58"/>
      <c r="C1034" s="59"/>
      <c r="D1034" s="59"/>
      <c r="E1034" s="60"/>
      <c r="F1034" s="61"/>
      <c r="G1034"/>
      <c r="H1034"/>
      <c r="I1034" s="78"/>
      <c r="J1034" s="109"/>
      <c r="K1034" s="106"/>
      <c r="L1034" s="98"/>
      <c r="M1034" s="67"/>
      <c r="N1034" s="77"/>
    </row>
    <row r="1035" spans="2:14" x14ac:dyDescent="0.35">
      <c r="B1035" s="58"/>
      <c r="C1035" s="59"/>
      <c r="D1035" s="59"/>
      <c r="E1035" s="60"/>
      <c r="F1035" s="61"/>
      <c r="G1035"/>
      <c r="H1035"/>
      <c r="I1035" s="78"/>
      <c r="J1035" s="109"/>
      <c r="K1035" s="106"/>
      <c r="L1035" s="98"/>
      <c r="M1035" s="67"/>
      <c r="N1035" s="77"/>
    </row>
    <row r="1036" spans="2:14" x14ac:dyDescent="0.35">
      <c r="B1036" s="58"/>
      <c r="C1036" s="59"/>
      <c r="D1036" s="59"/>
      <c r="E1036" s="60"/>
      <c r="F1036" s="61"/>
      <c r="G1036"/>
      <c r="H1036"/>
      <c r="I1036" s="78"/>
      <c r="J1036" s="109"/>
      <c r="K1036" s="106"/>
      <c r="L1036" s="98"/>
      <c r="M1036" s="67"/>
      <c r="N1036" s="77"/>
    </row>
    <row r="1037" spans="2:14" x14ac:dyDescent="0.35">
      <c r="B1037" s="58"/>
      <c r="C1037" s="59"/>
      <c r="D1037" s="59"/>
      <c r="E1037" s="60"/>
      <c r="F1037" s="61"/>
      <c r="G1037"/>
      <c r="H1037"/>
      <c r="I1037" s="78"/>
      <c r="J1037" s="109"/>
      <c r="K1037" s="106"/>
      <c r="L1037" s="98"/>
      <c r="M1037" s="67"/>
      <c r="N1037" s="77"/>
    </row>
    <row r="1038" spans="2:14" x14ac:dyDescent="0.35">
      <c r="B1038" s="58"/>
      <c r="C1038" s="59"/>
      <c r="D1038" s="59"/>
      <c r="E1038" s="60"/>
      <c r="F1038" s="61"/>
      <c r="G1038"/>
      <c r="H1038"/>
      <c r="I1038" s="78"/>
      <c r="J1038" s="109"/>
      <c r="K1038" s="106"/>
      <c r="L1038" s="98"/>
      <c r="M1038" s="67"/>
      <c r="N1038" s="77"/>
    </row>
    <row r="1039" spans="2:14" x14ac:dyDescent="0.35">
      <c r="B1039" s="58"/>
      <c r="C1039" s="59"/>
      <c r="D1039" s="59"/>
      <c r="E1039" s="60"/>
      <c r="F1039" s="61"/>
      <c r="G1039"/>
      <c r="H1039"/>
      <c r="I1039" s="78"/>
      <c r="J1039" s="76"/>
      <c r="K1039" s="107"/>
      <c r="L1039" s="99"/>
      <c r="M1039" s="67"/>
      <c r="N1039" s="77"/>
    </row>
    <row r="1040" spans="2:14" x14ac:dyDescent="0.35">
      <c r="B1040" s="58"/>
      <c r="C1040" s="59"/>
      <c r="D1040" s="59"/>
      <c r="E1040" s="60"/>
      <c r="F1040" s="61"/>
      <c r="G1040"/>
      <c r="H1040"/>
      <c r="I1040" s="78"/>
      <c r="J1040" s="109"/>
      <c r="K1040" s="106"/>
      <c r="L1040" s="98"/>
      <c r="M1040" s="83"/>
      <c r="N1040" s="77"/>
    </row>
    <row r="1041" spans="2:14" x14ac:dyDescent="0.35">
      <c r="B1041" s="58"/>
      <c r="C1041" s="59"/>
      <c r="D1041" s="59"/>
      <c r="E1041" s="60"/>
      <c r="F1041" s="61"/>
      <c r="G1041"/>
      <c r="H1041"/>
      <c r="I1041" s="78"/>
      <c r="J1041" s="109"/>
      <c r="K1041" s="106"/>
      <c r="L1041" s="98"/>
      <c r="M1041" s="83"/>
      <c r="N1041" s="77"/>
    </row>
    <row r="1042" spans="2:14" x14ac:dyDescent="0.35">
      <c r="B1042" s="58"/>
      <c r="C1042" s="59"/>
      <c r="D1042" s="59"/>
      <c r="E1042" s="60"/>
      <c r="F1042" s="61"/>
      <c r="G1042"/>
      <c r="H1042"/>
      <c r="I1042" s="78"/>
      <c r="J1042" s="109"/>
      <c r="K1042" s="106"/>
      <c r="L1042" s="98"/>
      <c r="M1042" s="83"/>
      <c r="N1042" s="77"/>
    </row>
    <row r="1043" spans="2:14" x14ac:dyDescent="0.35">
      <c r="B1043" s="58"/>
      <c r="C1043" s="59"/>
      <c r="D1043" s="59"/>
      <c r="E1043" s="60"/>
      <c r="F1043" s="61"/>
      <c r="G1043"/>
      <c r="H1043"/>
      <c r="I1043" s="78"/>
      <c r="J1043" s="109"/>
      <c r="K1043" s="106"/>
      <c r="L1043" s="98"/>
      <c r="M1043" s="67"/>
      <c r="N1043" s="77"/>
    </row>
    <row r="1044" spans="2:14" x14ac:dyDescent="0.35">
      <c r="B1044" s="58"/>
      <c r="C1044" s="59"/>
      <c r="D1044" s="59"/>
      <c r="E1044" s="60"/>
      <c r="F1044" s="61"/>
      <c r="G1044"/>
      <c r="H1044"/>
      <c r="I1044" s="78"/>
      <c r="J1044" s="109"/>
      <c r="K1044" s="106"/>
      <c r="L1044" s="98"/>
      <c r="M1044" s="67"/>
      <c r="N1044" s="77"/>
    </row>
    <row r="1045" spans="2:14" x14ac:dyDescent="0.35">
      <c r="B1045" s="58"/>
      <c r="C1045" s="59"/>
      <c r="D1045" s="59"/>
      <c r="E1045" s="60"/>
      <c r="F1045" s="61"/>
      <c r="G1045"/>
      <c r="H1045"/>
      <c r="I1045" s="78"/>
      <c r="J1045" s="109"/>
      <c r="K1045" s="106"/>
      <c r="L1045" s="98"/>
      <c r="M1045" s="67"/>
      <c r="N1045" s="77"/>
    </row>
    <row r="1046" spans="2:14" x14ac:dyDescent="0.35">
      <c r="B1046" s="58"/>
      <c r="C1046" s="59"/>
      <c r="D1046" s="59"/>
      <c r="E1046" s="60"/>
      <c r="F1046" s="61"/>
      <c r="G1046"/>
      <c r="H1046"/>
      <c r="I1046" s="78"/>
      <c r="J1046" s="109"/>
      <c r="K1046" s="106"/>
      <c r="L1046" s="98"/>
      <c r="M1046" s="67"/>
      <c r="N1046" s="77"/>
    </row>
    <row r="1047" spans="2:14" x14ac:dyDescent="0.35">
      <c r="B1047" s="58"/>
      <c r="C1047" s="59"/>
      <c r="D1047" s="59"/>
      <c r="E1047" s="60"/>
      <c r="F1047" s="61"/>
      <c r="G1047"/>
      <c r="H1047"/>
      <c r="I1047" s="78"/>
      <c r="J1047" s="109"/>
      <c r="K1047" s="106"/>
      <c r="L1047" s="98"/>
      <c r="M1047" s="67"/>
      <c r="N1047" s="77"/>
    </row>
    <row r="1048" spans="2:14" x14ac:dyDescent="0.35">
      <c r="B1048" s="58"/>
      <c r="C1048" s="59"/>
      <c r="D1048" s="59"/>
      <c r="E1048" s="60"/>
      <c r="F1048" s="61"/>
      <c r="G1048"/>
      <c r="H1048"/>
      <c r="I1048" s="78"/>
      <c r="J1048" s="109"/>
      <c r="K1048" s="106"/>
      <c r="L1048" s="98"/>
      <c r="M1048" s="67"/>
      <c r="N1048" s="77"/>
    </row>
    <row r="1049" spans="2:14" x14ac:dyDescent="0.35">
      <c r="B1049" s="58"/>
      <c r="C1049" s="59"/>
      <c r="D1049" s="59"/>
      <c r="E1049" s="60"/>
      <c r="F1049" s="61"/>
      <c r="G1049"/>
      <c r="H1049"/>
      <c r="I1049" s="78"/>
      <c r="J1049" s="76"/>
      <c r="K1049" s="107"/>
      <c r="L1049" s="99"/>
      <c r="M1049" s="67"/>
      <c r="N1049" s="77"/>
    </row>
    <row r="1050" spans="2:14" x14ac:dyDescent="0.35">
      <c r="B1050" s="58"/>
      <c r="C1050" s="59"/>
      <c r="D1050" s="59"/>
      <c r="E1050" s="60"/>
      <c r="F1050" s="61"/>
      <c r="G1050"/>
      <c r="H1050"/>
      <c r="I1050" s="78"/>
      <c r="J1050" s="76"/>
      <c r="K1050" s="107"/>
      <c r="L1050" s="99"/>
      <c r="M1050" s="67"/>
      <c r="N1050" s="77"/>
    </row>
    <row r="1051" spans="2:14" x14ac:dyDescent="0.35">
      <c r="B1051" s="58"/>
      <c r="C1051" s="59"/>
      <c r="D1051" s="59"/>
      <c r="E1051" s="60"/>
      <c r="F1051" s="61"/>
      <c r="G1051"/>
      <c r="H1051"/>
      <c r="I1051" s="78"/>
      <c r="J1051" s="76"/>
      <c r="K1051" s="107"/>
      <c r="L1051" s="99"/>
      <c r="M1051" s="67"/>
      <c r="N1051" s="77"/>
    </row>
    <row r="1052" spans="2:14" x14ac:dyDescent="0.35">
      <c r="B1052" s="58"/>
      <c r="C1052" s="59"/>
      <c r="D1052" s="59"/>
      <c r="E1052" s="60"/>
      <c r="F1052" s="61"/>
      <c r="G1052"/>
      <c r="H1052"/>
      <c r="I1052" s="78"/>
      <c r="J1052" s="109"/>
      <c r="K1052" s="106"/>
      <c r="L1052" s="98"/>
      <c r="M1052" s="67"/>
      <c r="N1052" s="77"/>
    </row>
    <row r="1053" spans="2:14" x14ac:dyDescent="0.35">
      <c r="B1053" s="58"/>
      <c r="C1053" s="59"/>
      <c r="D1053" s="59"/>
      <c r="E1053" s="60"/>
      <c r="F1053" s="61"/>
      <c r="G1053"/>
      <c r="H1053"/>
      <c r="I1053" s="78"/>
      <c r="J1053" s="109"/>
      <c r="K1053" s="106"/>
      <c r="L1053" s="98"/>
      <c r="M1053" s="67"/>
      <c r="N1053" s="77"/>
    </row>
    <row r="1054" spans="2:14" x14ac:dyDescent="0.35">
      <c r="B1054" s="58"/>
      <c r="C1054" s="59"/>
      <c r="D1054" s="59"/>
      <c r="E1054" s="60"/>
      <c r="F1054" s="61"/>
      <c r="G1054"/>
      <c r="H1054"/>
      <c r="I1054" s="78"/>
      <c r="J1054" s="109"/>
      <c r="K1054" s="106"/>
      <c r="L1054" s="98"/>
      <c r="M1054" s="67"/>
      <c r="N1054" s="77"/>
    </row>
    <row r="1055" spans="2:14" x14ac:dyDescent="0.35">
      <c r="B1055" s="58"/>
      <c r="C1055" s="59"/>
      <c r="D1055" s="59"/>
      <c r="E1055" s="60"/>
      <c r="F1055" s="61"/>
      <c r="G1055"/>
      <c r="H1055"/>
      <c r="I1055" s="78"/>
      <c r="J1055" s="109"/>
      <c r="K1055" s="106"/>
      <c r="L1055" s="98"/>
      <c r="M1055" s="67"/>
      <c r="N1055" s="77"/>
    </row>
    <row r="1056" spans="2:14" x14ac:dyDescent="0.35">
      <c r="B1056" s="58"/>
      <c r="C1056" s="59"/>
      <c r="D1056" s="59"/>
      <c r="E1056" s="60"/>
      <c r="F1056" s="61"/>
      <c r="G1056"/>
      <c r="H1056"/>
      <c r="I1056" s="78"/>
      <c r="J1056" s="109"/>
      <c r="K1056" s="106"/>
      <c r="L1056" s="98"/>
      <c r="M1056" s="67"/>
      <c r="N1056" s="77"/>
    </row>
    <row r="1057" spans="2:14" x14ac:dyDescent="0.35">
      <c r="B1057" s="58"/>
      <c r="C1057" s="59"/>
      <c r="D1057" s="59"/>
      <c r="E1057" s="60"/>
      <c r="F1057" s="61"/>
      <c r="G1057"/>
      <c r="H1057"/>
      <c r="I1057" s="78"/>
      <c r="J1057" s="109"/>
      <c r="K1057" s="106"/>
      <c r="L1057" s="98"/>
      <c r="M1057" s="67"/>
      <c r="N1057" s="77"/>
    </row>
    <row r="1058" spans="2:14" x14ac:dyDescent="0.35">
      <c r="B1058" s="58"/>
      <c r="C1058" s="59"/>
      <c r="D1058" s="59"/>
      <c r="E1058" s="60"/>
      <c r="F1058" s="61"/>
      <c r="G1058"/>
      <c r="H1058"/>
      <c r="I1058" s="78"/>
      <c r="J1058" s="109"/>
      <c r="K1058" s="106"/>
      <c r="L1058" s="98"/>
      <c r="M1058" s="67"/>
      <c r="N1058" s="77"/>
    </row>
    <row r="1059" spans="2:14" x14ac:dyDescent="0.35">
      <c r="B1059" s="58"/>
      <c r="C1059" s="59"/>
      <c r="D1059" s="59"/>
      <c r="E1059" s="60"/>
      <c r="F1059" s="61"/>
      <c r="G1059"/>
      <c r="H1059"/>
      <c r="I1059" s="78"/>
      <c r="J1059" s="109"/>
      <c r="K1059" s="107"/>
      <c r="L1059" s="111"/>
      <c r="M1059" s="67"/>
      <c r="N1059" s="77"/>
    </row>
    <row r="1060" spans="2:14" x14ac:dyDescent="0.35">
      <c r="B1060" s="58"/>
      <c r="C1060" s="59"/>
      <c r="D1060" s="59"/>
      <c r="E1060" s="60"/>
      <c r="F1060" s="61"/>
      <c r="G1060"/>
      <c r="H1060"/>
      <c r="I1060" s="78"/>
      <c r="J1060" s="109"/>
      <c r="K1060" s="107"/>
      <c r="L1060" s="99"/>
      <c r="M1060" s="67"/>
      <c r="N1060" s="77"/>
    </row>
    <row r="1061" spans="2:14" x14ac:dyDescent="0.35">
      <c r="B1061" s="58"/>
      <c r="C1061" s="59"/>
      <c r="D1061" s="59"/>
      <c r="E1061" s="60"/>
      <c r="F1061" s="61"/>
      <c r="G1061"/>
      <c r="H1061"/>
      <c r="I1061" s="78"/>
      <c r="J1061" s="109"/>
      <c r="K1061" s="107"/>
      <c r="L1061" s="99"/>
      <c r="M1061" s="67"/>
      <c r="N1061" s="77"/>
    </row>
    <row r="1062" spans="2:14" x14ac:dyDescent="0.35">
      <c r="B1062" s="58"/>
      <c r="C1062" s="59"/>
      <c r="D1062" s="59"/>
      <c r="E1062" s="60"/>
      <c r="F1062" s="61"/>
      <c r="G1062"/>
      <c r="H1062"/>
      <c r="I1062" s="78"/>
      <c r="J1062" s="109"/>
      <c r="K1062" s="107"/>
      <c r="L1062" s="99"/>
      <c r="M1062" s="67"/>
      <c r="N1062" s="77"/>
    </row>
    <row r="1063" spans="2:14" x14ac:dyDescent="0.35">
      <c r="B1063" s="58"/>
      <c r="C1063" s="59"/>
      <c r="D1063" s="59"/>
      <c r="E1063" s="60"/>
      <c r="F1063" s="61"/>
      <c r="G1063"/>
      <c r="H1063"/>
      <c r="I1063" s="78"/>
      <c r="J1063" s="109"/>
      <c r="K1063" s="107"/>
      <c r="L1063" s="99"/>
      <c r="M1063" s="67"/>
      <c r="N1063" s="77"/>
    </row>
    <row r="1064" spans="2:14" x14ac:dyDescent="0.35">
      <c r="B1064" s="58"/>
      <c r="C1064" s="59"/>
      <c r="D1064" s="59"/>
      <c r="E1064" s="60"/>
      <c r="F1064" s="61"/>
      <c r="G1064"/>
      <c r="H1064"/>
      <c r="I1064" s="78"/>
      <c r="J1064" s="112"/>
      <c r="K1064" s="107"/>
      <c r="L1064" s="99"/>
      <c r="M1064" s="67"/>
      <c r="N1064" s="77"/>
    </row>
    <row r="1065" spans="2:14" x14ac:dyDescent="0.35">
      <c r="B1065" s="58"/>
      <c r="C1065" s="59"/>
      <c r="D1065" s="59"/>
      <c r="E1065" s="60"/>
      <c r="F1065" s="61"/>
      <c r="G1065"/>
      <c r="H1065"/>
      <c r="I1065" s="78"/>
      <c r="J1065" s="76"/>
      <c r="K1065" s="107"/>
      <c r="L1065" s="99"/>
      <c r="M1065" s="67"/>
      <c r="N1065" s="77"/>
    </row>
    <row r="1066" spans="2:14" x14ac:dyDescent="0.35">
      <c r="B1066" s="58"/>
      <c r="C1066" s="59"/>
      <c r="D1066" s="59"/>
      <c r="E1066" s="60"/>
      <c r="F1066" s="61"/>
      <c r="G1066"/>
      <c r="H1066"/>
      <c r="I1066" s="78"/>
      <c r="J1066" s="76"/>
      <c r="K1066" s="107"/>
      <c r="L1066" s="99"/>
      <c r="M1066" s="67"/>
      <c r="N1066" s="77"/>
    </row>
    <row r="1067" spans="2:14" x14ac:dyDescent="0.35">
      <c r="B1067" s="58"/>
      <c r="C1067" s="59"/>
      <c r="D1067" s="59"/>
      <c r="E1067" s="60"/>
      <c r="F1067" s="61"/>
      <c r="G1067"/>
      <c r="H1067"/>
      <c r="I1067" s="78"/>
      <c r="J1067" s="76"/>
      <c r="K1067" s="107"/>
      <c r="L1067" s="99"/>
      <c r="M1067" s="67"/>
      <c r="N1067" s="77"/>
    </row>
    <row r="1068" spans="2:14" x14ac:dyDescent="0.35">
      <c r="B1068" s="58"/>
      <c r="C1068" s="59"/>
      <c r="D1068" s="59"/>
      <c r="E1068" s="60"/>
      <c r="F1068" s="61"/>
      <c r="G1068"/>
      <c r="H1068"/>
      <c r="I1068" s="78"/>
      <c r="J1068" s="76"/>
      <c r="K1068" s="107"/>
      <c r="L1068" s="99"/>
      <c r="M1068" s="67"/>
      <c r="N1068" s="77"/>
    </row>
    <row r="1069" spans="2:14" x14ac:dyDescent="0.35">
      <c r="B1069" s="58"/>
      <c r="C1069" s="59"/>
      <c r="D1069" s="59"/>
      <c r="E1069" s="60"/>
      <c r="F1069" s="61"/>
      <c r="G1069"/>
      <c r="H1069"/>
      <c r="I1069" s="78"/>
      <c r="J1069" s="76"/>
      <c r="K1069" s="107"/>
      <c r="L1069" s="99"/>
      <c r="M1069" s="67"/>
      <c r="N1069" s="77"/>
    </row>
    <row r="1070" spans="2:14" x14ac:dyDescent="0.35">
      <c r="B1070" s="58"/>
      <c r="C1070" s="59"/>
      <c r="D1070" s="59"/>
      <c r="E1070" s="60"/>
      <c r="F1070" s="61"/>
      <c r="G1070"/>
      <c r="H1070"/>
      <c r="I1070" s="78"/>
      <c r="J1070" s="76"/>
      <c r="K1070" s="107"/>
      <c r="L1070" s="99"/>
      <c r="M1070" s="67"/>
      <c r="N1070" s="77"/>
    </row>
    <row r="1071" spans="2:14" x14ac:dyDescent="0.35">
      <c r="B1071" s="58"/>
      <c r="C1071" s="59"/>
      <c r="D1071" s="59"/>
      <c r="E1071" s="60"/>
      <c r="F1071" s="61"/>
      <c r="G1071"/>
      <c r="H1071"/>
      <c r="I1071" s="78"/>
      <c r="J1071" s="76"/>
      <c r="K1071" s="107"/>
      <c r="L1071" s="99"/>
      <c r="M1071" s="67"/>
      <c r="N1071" s="77"/>
    </row>
    <row r="1072" spans="2:14" x14ac:dyDescent="0.35">
      <c r="B1072" s="58"/>
      <c r="C1072" s="59"/>
      <c r="D1072" s="59"/>
      <c r="E1072" s="60"/>
      <c r="F1072" s="61"/>
      <c r="G1072"/>
      <c r="H1072"/>
      <c r="I1072" s="78"/>
      <c r="J1072" s="62"/>
      <c r="K1072" s="62"/>
      <c r="L1072" s="113"/>
      <c r="M1072" s="67"/>
      <c r="N1072" s="77"/>
    </row>
    <row r="1073" spans="2:14" x14ac:dyDescent="0.35">
      <c r="B1073" s="58"/>
      <c r="C1073" s="59"/>
      <c r="D1073" s="59"/>
      <c r="E1073" s="60"/>
      <c r="F1073" s="61"/>
      <c r="G1073"/>
      <c r="H1073"/>
      <c r="I1073" s="78"/>
      <c r="J1073" s="62"/>
      <c r="K1073" s="62"/>
      <c r="L1073" s="113"/>
      <c r="M1073" s="67"/>
      <c r="N1073" s="77"/>
    </row>
    <row r="1074" spans="2:14" x14ac:dyDescent="0.35">
      <c r="B1074" s="58"/>
      <c r="C1074" s="59"/>
      <c r="D1074" s="59"/>
      <c r="E1074" s="60"/>
      <c r="F1074" s="61"/>
      <c r="G1074"/>
      <c r="H1074"/>
      <c r="I1074" s="78"/>
      <c r="J1074" s="62"/>
      <c r="K1074" s="62"/>
      <c r="L1074" s="113"/>
      <c r="M1074" s="67"/>
      <c r="N1074" s="77"/>
    </row>
    <row r="1075" spans="2:14" x14ac:dyDescent="0.35">
      <c r="B1075" s="58"/>
      <c r="C1075" s="59"/>
      <c r="D1075" s="59"/>
      <c r="E1075" s="60"/>
      <c r="F1075" s="61"/>
      <c r="G1075"/>
      <c r="H1075"/>
      <c r="I1075" s="78"/>
      <c r="J1075" s="62"/>
      <c r="K1075" s="62"/>
      <c r="L1075" s="113"/>
      <c r="M1075" s="67"/>
      <c r="N1075" s="77"/>
    </row>
    <row r="1076" spans="2:14" x14ac:dyDescent="0.35">
      <c r="B1076" s="58"/>
      <c r="C1076" s="59"/>
      <c r="D1076" s="59"/>
      <c r="E1076" s="60"/>
      <c r="F1076" s="61"/>
      <c r="G1076"/>
      <c r="H1076"/>
      <c r="I1076" s="78"/>
      <c r="J1076" s="62"/>
      <c r="K1076" s="62"/>
      <c r="L1076" s="113"/>
      <c r="M1076" s="67"/>
      <c r="N1076" s="77"/>
    </row>
    <row r="1077" spans="2:14" x14ac:dyDescent="0.35">
      <c r="B1077" s="58"/>
      <c r="C1077" s="59"/>
      <c r="D1077" s="59"/>
      <c r="E1077" s="60"/>
      <c r="F1077" s="61"/>
      <c r="G1077"/>
      <c r="H1077"/>
      <c r="I1077" s="78"/>
      <c r="J1077" s="62"/>
      <c r="K1077" s="62"/>
      <c r="L1077" s="113"/>
      <c r="M1077" s="67"/>
      <c r="N1077" s="77"/>
    </row>
    <row r="1078" spans="2:14" x14ac:dyDescent="0.35">
      <c r="B1078" s="58"/>
      <c r="C1078" s="59"/>
      <c r="D1078" s="59"/>
      <c r="E1078" s="60"/>
      <c r="F1078" s="61"/>
      <c r="G1078"/>
      <c r="H1078"/>
      <c r="I1078" s="78"/>
      <c r="J1078" s="62"/>
      <c r="K1078" s="62"/>
      <c r="L1078" s="113"/>
      <c r="M1078" s="67"/>
      <c r="N1078" s="77"/>
    </row>
    <row r="1079" spans="2:14" x14ac:dyDescent="0.35">
      <c r="B1079" s="58"/>
      <c r="C1079" s="59"/>
      <c r="D1079" s="59"/>
      <c r="E1079" s="60"/>
      <c r="F1079" s="61"/>
      <c r="G1079"/>
      <c r="H1079"/>
      <c r="I1079" s="78"/>
      <c r="J1079" s="62"/>
      <c r="K1079" s="62"/>
      <c r="L1079" s="113"/>
      <c r="M1079" s="67"/>
      <c r="N1079" s="77"/>
    </row>
    <row r="1080" spans="2:14" x14ac:dyDescent="0.35">
      <c r="B1080" s="58"/>
      <c r="C1080" s="59"/>
      <c r="D1080" s="59"/>
      <c r="E1080" s="60"/>
      <c r="F1080" s="61"/>
      <c r="G1080"/>
      <c r="H1080"/>
      <c r="I1080" s="78"/>
      <c r="J1080" s="62"/>
      <c r="K1080" s="62"/>
      <c r="L1080" s="113"/>
      <c r="M1080" s="67"/>
      <c r="N1080" s="77"/>
    </row>
    <row r="1081" spans="2:14" x14ac:dyDescent="0.35">
      <c r="B1081" s="58"/>
      <c r="C1081" s="59"/>
      <c r="D1081" s="59"/>
      <c r="E1081" s="60"/>
      <c r="F1081" s="61"/>
      <c r="G1081"/>
      <c r="H1081"/>
      <c r="I1081" s="78"/>
      <c r="J1081" s="62"/>
      <c r="K1081" s="62"/>
      <c r="L1081" s="113"/>
      <c r="M1081" s="67"/>
      <c r="N1081" s="77"/>
    </row>
    <row r="1082" spans="2:14" x14ac:dyDescent="0.35">
      <c r="B1082" s="58"/>
      <c r="C1082" s="59"/>
      <c r="D1082" s="59"/>
      <c r="E1082" s="60"/>
      <c r="F1082" s="61"/>
      <c r="G1082"/>
      <c r="H1082"/>
      <c r="I1082" s="78"/>
      <c r="J1082" s="62"/>
      <c r="K1082" s="62"/>
      <c r="L1082" s="113"/>
      <c r="M1082" s="67"/>
      <c r="N1082" s="77"/>
    </row>
    <row r="1083" spans="2:14" x14ac:dyDescent="0.35">
      <c r="B1083" s="58"/>
      <c r="C1083" s="59"/>
      <c r="D1083" s="59"/>
      <c r="E1083" s="60"/>
      <c r="F1083" s="61"/>
      <c r="G1083"/>
      <c r="H1083"/>
      <c r="I1083" s="78"/>
      <c r="J1083" s="62"/>
      <c r="K1083" s="62"/>
      <c r="L1083" s="113"/>
      <c r="M1083" s="83"/>
      <c r="N1083" s="77"/>
    </row>
    <row r="1084" spans="2:14" x14ac:dyDescent="0.35">
      <c r="B1084" s="58"/>
      <c r="C1084" s="59"/>
      <c r="D1084" s="59"/>
      <c r="E1084" s="60"/>
      <c r="F1084" s="61"/>
      <c r="G1084"/>
      <c r="H1084"/>
      <c r="I1084" s="78"/>
      <c r="J1084" s="62"/>
      <c r="K1084" s="62"/>
      <c r="L1084" s="113"/>
      <c r="M1084" s="83"/>
      <c r="N1084" s="77"/>
    </row>
    <row r="1085" spans="2:14" x14ac:dyDescent="0.35">
      <c r="B1085" s="58"/>
      <c r="C1085" s="59"/>
      <c r="D1085" s="59"/>
      <c r="E1085" s="60"/>
      <c r="F1085" s="61"/>
      <c r="G1085"/>
      <c r="H1085"/>
      <c r="I1085" s="78"/>
      <c r="J1085" s="62"/>
      <c r="K1085" s="62"/>
      <c r="L1085" s="113"/>
      <c r="M1085" s="83"/>
      <c r="N1085" s="77"/>
    </row>
    <row r="1086" spans="2:14" x14ac:dyDescent="0.35">
      <c r="B1086" s="58"/>
      <c r="C1086" s="59"/>
      <c r="D1086" s="59"/>
      <c r="E1086" s="60"/>
      <c r="F1086" s="61"/>
      <c r="G1086"/>
      <c r="H1086"/>
      <c r="I1086" s="78"/>
      <c r="J1086" s="62"/>
      <c r="K1086" s="62"/>
      <c r="L1086" s="113"/>
      <c r="M1086" s="67"/>
      <c r="N1086" s="77"/>
    </row>
    <row r="1087" spans="2:14" x14ac:dyDescent="0.35">
      <c r="B1087" s="58"/>
      <c r="C1087" s="59"/>
      <c r="D1087" s="59"/>
      <c r="E1087" s="60"/>
      <c r="F1087" s="61"/>
      <c r="G1087"/>
      <c r="H1087"/>
      <c r="I1087" s="78"/>
      <c r="J1087" s="62"/>
      <c r="K1087" s="62"/>
      <c r="L1087" s="113"/>
      <c r="M1087" s="67"/>
      <c r="N1087" s="77"/>
    </row>
    <row r="1088" spans="2:14" x14ac:dyDescent="0.35">
      <c r="B1088" s="58"/>
      <c r="C1088" s="59"/>
      <c r="D1088" s="59"/>
      <c r="E1088" s="60"/>
      <c r="F1088" s="61"/>
      <c r="G1088"/>
      <c r="H1088"/>
      <c r="I1088" s="78"/>
      <c r="J1088" s="62"/>
      <c r="K1088" s="62"/>
      <c r="L1088" s="113"/>
      <c r="M1088" s="67"/>
      <c r="N1088" s="77"/>
    </row>
    <row r="1089" spans="2:14" x14ac:dyDescent="0.35">
      <c r="B1089" s="58"/>
      <c r="C1089" s="59"/>
      <c r="D1089" s="59"/>
      <c r="E1089" s="60"/>
      <c r="F1089" s="61"/>
      <c r="G1089"/>
      <c r="H1089"/>
      <c r="I1089" s="78"/>
      <c r="J1089" s="62"/>
      <c r="K1089" s="62"/>
      <c r="L1089" s="113"/>
      <c r="M1089" s="67"/>
      <c r="N1089" s="77"/>
    </row>
    <row r="1090" spans="2:14" x14ac:dyDescent="0.35">
      <c r="B1090" s="58"/>
      <c r="C1090" s="59"/>
      <c r="D1090" s="59"/>
      <c r="E1090" s="60"/>
      <c r="F1090" s="61"/>
      <c r="G1090"/>
      <c r="H1090"/>
      <c r="I1090" s="78"/>
      <c r="J1090" s="62"/>
      <c r="K1090" s="62"/>
      <c r="L1090" s="113"/>
      <c r="M1090" s="114"/>
      <c r="N1090" s="77"/>
    </row>
    <row r="1091" spans="2:14" x14ac:dyDescent="0.35">
      <c r="B1091" s="58"/>
      <c r="C1091" s="59"/>
      <c r="D1091" s="59"/>
      <c r="E1091" s="60"/>
      <c r="F1091" s="61"/>
      <c r="G1091"/>
      <c r="H1091"/>
      <c r="I1091" s="78"/>
      <c r="J1091" s="62"/>
      <c r="K1091" s="62"/>
      <c r="L1091" s="113"/>
      <c r="M1091" s="114"/>
      <c r="N1091" s="77"/>
    </row>
    <row r="1092" spans="2:14" x14ac:dyDescent="0.35">
      <c r="B1092" s="58"/>
      <c r="C1092" s="59"/>
      <c r="D1092" s="59"/>
      <c r="E1092" s="60"/>
      <c r="F1092" s="61"/>
      <c r="G1092"/>
      <c r="H1092"/>
      <c r="I1092" s="78"/>
      <c r="J1092" s="62"/>
      <c r="K1092" s="62"/>
      <c r="L1092" s="113"/>
      <c r="M1092" s="83"/>
      <c r="N1092" s="77"/>
    </row>
    <row r="1093" spans="2:14" x14ac:dyDescent="0.35">
      <c r="B1093" s="58"/>
      <c r="C1093" s="59"/>
      <c r="D1093" s="59"/>
      <c r="E1093" s="60"/>
      <c r="F1093" s="61"/>
      <c r="G1093"/>
      <c r="H1093"/>
      <c r="I1093" s="78"/>
      <c r="J1093" s="62"/>
      <c r="K1093" s="62"/>
      <c r="L1093" s="113"/>
      <c r="M1093" s="67"/>
      <c r="N1093" s="77"/>
    </row>
    <row r="1094" spans="2:14" x14ac:dyDescent="0.35">
      <c r="B1094" s="58"/>
      <c r="C1094" s="59"/>
      <c r="D1094" s="59"/>
      <c r="E1094" s="60"/>
      <c r="F1094" s="61"/>
      <c r="G1094"/>
      <c r="H1094"/>
      <c r="I1094" s="78"/>
      <c r="J1094" s="62"/>
      <c r="K1094" s="62"/>
      <c r="L1094" s="113"/>
      <c r="M1094" s="83"/>
      <c r="N1094" s="77"/>
    </row>
    <row r="1095" spans="2:14" x14ac:dyDescent="0.35">
      <c r="B1095" s="58"/>
      <c r="C1095" s="59"/>
      <c r="D1095" s="59"/>
      <c r="E1095" s="60"/>
      <c r="F1095" s="61"/>
      <c r="G1095"/>
      <c r="H1095"/>
      <c r="I1095" s="78"/>
      <c r="J1095" s="62"/>
      <c r="K1095" s="62"/>
      <c r="L1095" s="113"/>
      <c r="M1095" s="83"/>
      <c r="N1095" s="77"/>
    </row>
    <row r="1096" spans="2:14" x14ac:dyDescent="0.35">
      <c r="B1096" s="58"/>
      <c r="C1096" s="59"/>
      <c r="D1096" s="59"/>
      <c r="E1096" s="60"/>
      <c r="F1096" s="61"/>
      <c r="G1096"/>
      <c r="H1096"/>
      <c r="I1096" s="78"/>
      <c r="J1096" s="62"/>
      <c r="K1096" s="62"/>
      <c r="L1096" s="113"/>
      <c r="M1096" s="67"/>
      <c r="N1096" s="77"/>
    </row>
    <row r="1097" spans="2:14" x14ac:dyDescent="0.35">
      <c r="B1097" s="58"/>
      <c r="C1097" s="59"/>
      <c r="D1097" s="59"/>
      <c r="E1097" s="60"/>
      <c r="F1097" s="61"/>
      <c r="G1097"/>
      <c r="H1097"/>
      <c r="I1097" s="78"/>
      <c r="J1097" s="62"/>
      <c r="K1097" s="62"/>
      <c r="L1097" s="113"/>
      <c r="M1097" s="67"/>
      <c r="N1097" s="77"/>
    </row>
    <row r="1098" spans="2:14" x14ac:dyDescent="0.35">
      <c r="B1098" s="58"/>
      <c r="C1098" s="59"/>
      <c r="D1098" s="59"/>
      <c r="E1098" s="60"/>
      <c r="F1098" s="61"/>
      <c r="G1098"/>
      <c r="H1098"/>
      <c r="I1098" s="78"/>
      <c r="J1098" s="62"/>
      <c r="K1098" s="62"/>
      <c r="L1098" s="113"/>
      <c r="M1098" s="67"/>
      <c r="N1098" s="77"/>
    </row>
    <row r="1099" spans="2:14" x14ac:dyDescent="0.35">
      <c r="B1099" s="58"/>
      <c r="C1099" s="59"/>
      <c r="D1099" s="59"/>
      <c r="E1099" s="60"/>
      <c r="F1099" s="61"/>
      <c r="G1099"/>
      <c r="H1099"/>
      <c r="I1099" s="78"/>
      <c r="J1099" s="62"/>
      <c r="K1099" s="62"/>
      <c r="L1099" s="113"/>
      <c r="M1099" s="67"/>
      <c r="N1099" s="77"/>
    </row>
    <row r="1100" spans="2:14" x14ac:dyDescent="0.35">
      <c r="B1100" s="58"/>
      <c r="C1100" s="59"/>
      <c r="D1100" s="59"/>
      <c r="E1100" s="60"/>
      <c r="F1100" s="61"/>
      <c r="G1100"/>
      <c r="H1100"/>
      <c r="I1100" s="78"/>
      <c r="J1100" s="62"/>
      <c r="K1100" s="62"/>
      <c r="L1100" s="113"/>
      <c r="M1100" s="67"/>
      <c r="N1100" s="77"/>
    </row>
    <row r="1101" spans="2:14" x14ac:dyDescent="0.35">
      <c r="B1101" s="58"/>
      <c r="C1101" s="59"/>
      <c r="D1101" s="59"/>
      <c r="E1101" s="60"/>
      <c r="F1101" s="61"/>
      <c r="G1101"/>
      <c r="H1101"/>
      <c r="I1101" s="78"/>
      <c r="J1101" s="62"/>
      <c r="K1101" s="62"/>
      <c r="L1101" s="113"/>
      <c r="M1101" s="67"/>
      <c r="N1101" s="77"/>
    </row>
    <row r="1102" spans="2:14" x14ac:dyDescent="0.35">
      <c r="B1102" s="58"/>
      <c r="C1102" s="59"/>
      <c r="D1102" s="59"/>
      <c r="E1102" s="60"/>
      <c r="F1102" s="61"/>
      <c r="G1102"/>
      <c r="H1102"/>
      <c r="I1102" s="78"/>
      <c r="J1102" s="62"/>
      <c r="K1102" s="62"/>
      <c r="L1102" s="113"/>
      <c r="M1102" s="67"/>
      <c r="N1102" s="77"/>
    </row>
    <row r="1103" spans="2:14" x14ac:dyDescent="0.35">
      <c r="B1103" s="58"/>
      <c r="C1103" s="59"/>
      <c r="D1103" s="59"/>
      <c r="E1103" s="60"/>
      <c r="F1103" s="61"/>
      <c r="G1103"/>
      <c r="H1103"/>
      <c r="I1103" s="78"/>
      <c r="J1103" s="62"/>
      <c r="K1103" s="62"/>
      <c r="L1103" s="113"/>
      <c r="M1103" s="67"/>
      <c r="N1103" s="77"/>
    </row>
    <row r="1104" spans="2:14" x14ac:dyDescent="0.35">
      <c r="B1104" s="58"/>
      <c r="C1104" s="59"/>
      <c r="D1104" s="59"/>
      <c r="E1104" s="60"/>
      <c r="F1104" s="61"/>
      <c r="G1104"/>
      <c r="H1104"/>
      <c r="I1104" s="78"/>
      <c r="J1104" s="62"/>
      <c r="K1104" s="62"/>
      <c r="L1104" s="113"/>
      <c r="M1104" s="67"/>
      <c r="N1104" s="77"/>
    </row>
    <row r="1105" spans="2:14" x14ac:dyDescent="0.35">
      <c r="B1105" s="58"/>
      <c r="C1105" s="59"/>
      <c r="D1105" s="59"/>
      <c r="E1105" s="60"/>
      <c r="F1105" s="61"/>
      <c r="G1105"/>
      <c r="H1105"/>
      <c r="I1105" s="78"/>
      <c r="J1105" s="62"/>
      <c r="K1105" s="62"/>
      <c r="L1105" s="113"/>
      <c r="M1105" s="67"/>
      <c r="N1105" s="77"/>
    </row>
    <row r="1106" spans="2:14" x14ac:dyDescent="0.35">
      <c r="B1106" s="58"/>
      <c r="C1106" s="59"/>
      <c r="D1106" s="59"/>
      <c r="E1106" s="60"/>
      <c r="F1106" s="61"/>
      <c r="G1106"/>
      <c r="H1106"/>
      <c r="I1106" s="78"/>
      <c r="J1106" s="62"/>
      <c r="K1106" s="62"/>
      <c r="L1106" s="113"/>
      <c r="M1106" s="67"/>
      <c r="N1106" s="77"/>
    </row>
    <row r="1107" spans="2:14" x14ac:dyDescent="0.35">
      <c r="B1107" s="58"/>
      <c r="C1107" s="59"/>
      <c r="D1107" s="59"/>
      <c r="E1107" s="60"/>
      <c r="F1107" s="61"/>
      <c r="G1107"/>
      <c r="H1107"/>
      <c r="I1107" s="78"/>
      <c r="J1107" s="62"/>
      <c r="K1107" s="62"/>
      <c r="L1107" s="113"/>
      <c r="M1107" s="67"/>
      <c r="N1107" s="77"/>
    </row>
    <row r="1108" spans="2:14" x14ac:dyDescent="0.35">
      <c r="B1108" s="58"/>
      <c r="C1108" s="59"/>
      <c r="D1108" s="59"/>
      <c r="E1108" s="60"/>
      <c r="F1108" s="61"/>
      <c r="G1108"/>
      <c r="H1108"/>
      <c r="I1108" s="78"/>
      <c r="J1108" s="62"/>
      <c r="K1108" s="62"/>
      <c r="L1108" s="113"/>
      <c r="M1108" s="67"/>
      <c r="N1108" s="77"/>
    </row>
    <row r="1109" spans="2:14" x14ac:dyDescent="0.35">
      <c r="B1109" s="58"/>
      <c r="C1109" s="59"/>
      <c r="D1109" s="59"/>
      <c r="E1109" s="60"/>
      <c r="F1109" s="61"/>
      <c r="G1109"/>
      <c r="H1109"/>
      <c r="I1109" s="78"/>
      <c r="J1109" s="62"/>
      <c r="K1109" s="62"/>
      <c r="L1109" s="113"/>
      <c r="M1109" s="67"/>
      <c r="N1109" s="77"/>
    </row>
    <row r="1110" spans="2:14" x14ac:dyDescent="0.35">
      <c r="B1110" s="58"/>
      <c r="C1110" s="59"/>
      <c r="D1110" s="59"/>
      <c r="E1110" s="60"/>
      <c r="F1110" s="61"/>
      <c r="G1110"/>
      <c r="H1110"/>
      <c r="I1110" s="78"/>
      <c r="J1110" s="62"/>
      <c r="K1110" s="62"/>
      <c r="L1110" s="113"/>
      <c r="M1110" s="67"/>
      <c r="N1110" s="77"/>
    </row>
    <row r="1111" spans="2:14" x14ac:dyDescent="0.35">
      <c r="B1111" s="58"/>
      <c r="C1111" s="59"/>
      <c r="D1111" s="59"/>
      <c r="E1111" s="60"/>
      <c r="F1111" s="61"/>
      <c r="G1111"/>
      <c r="H1111"/>
      <c r="I1111" s="78"/>
      <c r="J1111" s="62"/>
      <c r="K1111" s="62"/>
      <c r="L1111" s="113"/>
      <c r="M1111" s="67"/>
      <c r="N1111" s="77"/>
    </row>
    <row r="1112" spans="2:14" x14ac:dyDescent="0.35">
      <c r="B1112" s="58"/>
      <c r="C1112" s="59"/>
      <c r="D1112" s="59"/>
      <c r="E1112" s="60"/>
      <c r="F1112" s="61"/>
      <c r="G1112"/>
      <c r="H1112"/>
      <c r="I1112" s="78"/>
      <c r="J1112" s="62"/>
      <c r="K1112" s="62"/>
      <c r="L1112" s="113"/>
      <c r="M1112" s="67"/>
      <c r="N1112" s="77"/>
    </row>
    <row r="1113" spans="2:14" x14ac:dyDescent="0.35">
      <c r="B1113" s="58"/>
      <c r="C1113" s="59"/>
      <c r="D1113" s="59"/>
      <c r="E1113" s="60"/>
      <c r="F1113" s="61"/>
      <c r="G1113"/>
      <c r="H1113"/>
      <c r="I1113" s="78"/>
      <c r="J1113" s="62"/>
      <c r="K1113" s="62"/>
      <c r="L1113" s="113"/>
      <c r="M1113" s="67"/>
      <c r="N1113" s="77"/>
    </row>
    <row r="1114" spans="2:14" x14ac:dyDescent="0.35">
      <c r="B1114" s="58"/>
      <c r="C1114" s="59"/>
      <c r="D1114" s="59"/>
      <c r="E1114" s="60"/>
      <c r="F1114" s="61"/>
      <c r="G1114"/>
      <c r="H1114"/>
      <c r="I1114" s="78"/>
      <c r="J1114" s="62"/>
      <c r="K1114" s="62"/>
      <c r="L1114" s="113"/>
      <c r="M1114" s="67"/>
      <c r="N1114" s="77"/>
    </row>
    <row r="1115" spans="2:14" x14ac:dyDescent="0.35">
      <c r="B1115" s="58"/>
      <c r="C1115" s="59"/>
      <c r="D1115" s="59"/>
      <c r="E1115" s="60"/>
      <c r="F1115" s="61"/>
      <c r="G1115"/>
      <c r="H1115"/>
      <c r="I1115" s="78"/>
      <c r="J1115" s="62"/>
      <c r="K1115" s="62"/>
      <c r="L1115" s="113"/>
      <c r="M1115" s="83"/>
      <c r="N1115" s="77"/>
    </row>
    <row r="1116" spans="2:14" x14ac:dyDescent="0.35">
      <c r="B1116" s="58"/>
      <c r="C1116" s="59"/>
      <c r="D1116" s="59"/>
      <c r="E1116" s="60"/>
      <c r="F1116" s="61"/>
      <c r="G1116"/>
      <c r="H1116"/>
      <c r="I1116" s="78"/>
      <c r="J1116" s="62"/>
      <c r="K1116" s="62"/>
      <c r="L1116" s="113"/>
      <c r="M1116" s="67"/>
      <c r="N1116" s="77"/>
    </row>
    <row r="1117" spans="2:14" x14ac:dyDescent="0.35">
      <c r="B1117" s="58"/>
      <c r="C1117" s="59"/>
      <c r="D1117" s="59"/>
      <c r="E1117" s="60"/>
      <c r="F1117" s="61"/>
      <c r="G1117"/>
      <c r="H1117"/>
      <c r="I1117" s="78"/>
      <c r="J1117" s="62"/>
      <c r="K1117" s="62"/>
      <c r="L1117" s="113"/>
      <c r="M1117" s="67"/>
      <c r="N1117" s="77"/>
    </row>
    <row r="1118" spans="2:14" x14ac:dyDescent="0.35">
      <c r="B1118" s="58"/>
      <c r="C1118" s="59"/>
      <c r="D1118" s="59"/>
      <c r="E1118" s="60"/>
      <c r="F1118" s="61"/>
      <c r="G1118"/>
      <c r="H1118"/>
      <c r="I1118" s="78"/>
      <c r="J1118" s="62"/>
      <c r="K1118" s="62"/>
      <c r="L1118" s="113"/>
      <c r="M1118" s="67"/>
      <c r="N1118" s="77"/>
    </row>
    <row r="1119" spans="2:14" x14ac:dyDescent="0.35">
      <c r="B1119" s="58"/>
      <c r="C1119" s="59"/>
      <c r="D1119" s="59"/>
      <c r="E1119" s="60"/>
      <c r="F1119" s="61"/>
      <c r="G1119"/>
      <c r="H1119"/>
      <c r="I1119" s="78"/>
      <c r="J1119" s="62"/>
      <c r="K1119" s="62"/>
      <c r="L1119" s="113"/>
      <c r="M1119" s="67"/>
      <c r="N1119" s="77"/>
    </row>
    <row r="1120" spans="2:14" x14ac:dyDescent="0.35">
      <c r="B1120" s="58"/>
      <c r="C1120" s="59"/>
      <c r="D1120" s="59"/>
      <c r="E1120" s="60"/>
      <c r="F1120" s="61"/>
      <c r="G1120"/>
      <c r="H1120"/>
      <c r="I1120" s="78"/>
      <c r="J1120" s="62"/>
      <c r="K1120" s="62"/>
      <c r="L1120" s="113"/>
      <c r="M1120" s="67"/>
      <c r="N1120" s="77"/>
    </row>
    <row r="1121" spans="2:14" x14ac:dyDescent="0.35">
      <c r="B1121" s="58"/>
      <c r="C1121" s="59"/>
      <c r="D1121" s="59"/>
      <c r="E1121" s="60"/>
      <c r="F1121" s="61"/>
      <c r="G1121"/>
      <c r="H1121"/>
      <c r="I1121" s="78"/>
      <c r="J1121" s="62"/>
      <c r="K1121" s="62"/>
      <c r="L1121" s="113"/>
      <c r="M1121" s="67"/>
      <c r="N1121" s="77"/>
    </row>
    <row r="1122" spans="2:14" x14ac:dyDescent="0.35">
      <c r="B1122" s="58"/>
      <c r="C1122" s="59"/>
      <c r="D1122" s="59"/>
      <c r="E1122" s="60"/>
      <c r="F1122" s="61"/>
      <c r="G1122"/>
      <c r="H1122"/>
      <c r="I1122" s="78"/>
      <c r="J1122" s="62"/>
      <c r="K1122" s="62"/>
      <c r="L1122" s="113"/>
      <c r="M1122" s="67"/>
      <c r="N1122" s="77"/>
    </row>
    <row r="1123" spans="2:14" x14ac:dyDescent="0.35">
      <c r="B1123" s="58"/>
      <c r="C1123" s="59"/>
      <c r="D1123" s="59"/>
      <c r="E1123" s="60"/>
      <c r="F1123" s="61"/>
      <c r="G1123"/>
      <c r="H1123"/>
      <c r="I1123" s="78"/>
      <c r="J1123" s="62"/>
      <c r="K1123" s="62"/>
      <c r="L1123" s="113"/>
      <c r="M1123" s="67"/>
      <c r="N1123" s="77"/>
    </row>
    <row r="1124" spans="2:14" x14ac:dyDescent="0.35">
      <c r="B1124" s="58"/>
      <c r="C1124" s="59"/>
      <c r="D1124" s="59"/>
      <c r="E1124" s="60"/>
      <c r="F1124" s="61"/>
      <c r="G1124"/>
      <c r="H1124"/>
      <c r="I1124" s="78"/>
      <c r="J1124" s="62"/>
      <c r="K1124" s="62"/>
      <c r="L1124" s="113"/>
      <c r="M1124" s="67"/>
      <c r="N1124" s="77"/>
    </row>
    <row r="1125" spans="2:14" x14ac:dyDescent="0.35">
      <c r="B1125" s="58"/>
      <c r="C1125" s="59"/>
      <c r="D1125" s="59"/>
      <c r="E1125" s="60"/>
      <c r="F1125" s="61"/>
      <c r="G1125"/>
      <c r="H1125"/>
      <c r="I1125" s="78"/>
      <c r="J1125" s="62"/>
      <c r="K1125" s="62"/>
      <c r="L1125" s="113"/>
      <c r="M1125" s="67"/>
      <c r="N1125" s="77"/>
    </row>
    <row r="1126" spans="2:14" x14ac:dyDescent="0.35">
      <c r="B1126" s="58"/>
      <c r="C1126" s="59"/>
      <c r="D1126" s="59"/>
      <c r="E1126" s="60"/>
      <c r="F1126" s="61"/>
      <c r="G1126"/>
      <c r="H1126"/>
      <c r="I1126" s="78"/>
      <c r="J1126" s="62"/>
      <c r="K1126" s="62"/>
      <c r="L1126" s="113"/>
      <c r="M1126" s="67"/>
      <c r="N1126" s="77"/>
    </row>
    <row r="1127" spans="2:14" x14ac:dyDescent="0.35">
      <c r="B1127" s="58"/>
      <c r="C1127" s="59"/>
      <c r="D1127" s="59"/>
      <c r="E1127" s="60"/>
      <c r="F1127" s="61"/>
      <c r="G1127"/>
      <c r="H1127"/>
      <c r="I1127" s="78"/>
      <c r="J1127" s="62"/>
      <c r="K1127" s="62"/>
      <c r="L1127" s="113"/>
      <c r="M1127" s="67"/>
      <c r="N1127" s="77"/>
    </row>
    <row r="1128" spans="2:14" x14ac:dyDescent="0.35">
      <c r="B1128" s="58"/>
      <c r="C1128" s="59"/>
      <c r="D1128" s="59"/>
      <c r="E1128" s="60"/>
      <c r="F1128" s="61"/>
      <c r="G1128"/>
      <c r="H1128"/>
      <c r="I1128" s="78"/>
      <c r="J1128" s="62"/>
      <c r="K1128" s="62"/>
      <c r="L1128" s="113"/>
      <c r="M1128" s="67"/>
      <c r="N1128" s="77"/>
    </row>
    <row r="1129" spans="2:14" x14ac:dyDescent="0.35">
      <c r="B1129" s="58"/>
      <c r="C1129" s="59"/>
      <c r="D1129" s="59"/>
      <c r="E1129" s="60"/>
      <c r="F1129" s="61"/>
      <c r="G1129"/>
      <c r="H1129"/>
      <c r="I1129" s="78"/>
      <c r="J1129" s="62"/>
      <c r="K1129" s="62"/>
      <c r="L1129" s="113"/>
      <c r="M1129" s="67"/>
      <c r="N1129" s="77"/>
    </row>
    <row r="1130" spans="2:14" x14ac:dyDescent="0.35">
      <c r="B1130" s="58"/>
      <c r="C1130" s="59"/>
      <c r="D1130" s="59"/>
      <c r="E1130" s="60"/>
      <c r="F1130" s="61"/>
      <c r="G1130"/>
      <c r="H1130"/>
      <c r="I1130" s="78"/>
      <c r="J1130" s="62"/>
      <c r="K1130" s="62"/>
      <c r="L1130" s="113"/>
      <c r="M1130" s="67"/>
      <c r="N1130" s="77"/>
    </row>
    <row r="1131" spans="2:14" x14ac:dyDescent="0.35">
      <c r="B1131" s="58"/>
      <c r="C1131" s="59"/>
      <c r="D1131" s="59"/>
      <c r="E1131" s="60"/>
      <c r="F1131" s="61"/>
      <c r="G1131"/>
      <c r="H1131"/>
      <c r="I1131" s="78"/>
      <c r="J1131" s="62"/>
      <c r="K1131" s="62"/>
      <c r="L1131" s="113"/>
      <c r="M1131" s="67"/>
      <c r="N1131" s="77"/>
    </row>
    <row r="1132" spans="2:14" x14ac:dyDescent="0.35">
      <c r="B1132" s="58"/>
      <c r="C1132" s="59"/>
      <c r="D1132" s="59"/>
      <c r="E1132" s="60"/>
      <c r="F1132" s="61"/>
      <c r="G1132"/>
      <c r="H1132"/>
      <c r="I1132" s="78"/>
      <c r="J1132" s="62"/>
      <c r="K1132" s="62"/>
      <c r="L1132" s="113"/>
      <c r="M1132" s="67"/>
      <c r="N1132" s="77"/>
    </row>
    <row r="1133" spans="2:14" x14ac:dyDescent="0.35">
      <c r="B1133" s="58"/>
      <c r="C1133" s="59"/>
      <c r="D1133" s="59"/>
      <c r="E1133" s="60"/>
      <c r="F1133" s="61"/>
      <c r="G1133"/>
      <c r="H1133"/>
      <c r="I1133" s="78"/>
      <c r="J1133" s="62"/>
      <c r="K1133" s="62"/>
      <c r="L1133" s="113"/>
      <c r="M1133" s="67"/>
      <c r="N1133" s="77"/>
    </row>
    <row r="1134" spans="2:14" x14ac:dyDescent="0.35">
      <c r="B1134" s="58"/>
      <c r="C1134" s="59"/>
      <c r="D1134" s="59"/>
      <c r="E1134" s="60"/>
      <c r="F1134" s="61"/>
      <c r="G1134"/>
      <c r="H1134"/>
      <c r="I1134" s="78"/>
      <c r="J1134" s="62"/>
      <c r="K1134" s="62"/>
      <c r="L1134" s="113"/>
      <c r="M1134" s="67"/>
      <c r="N1134" s="77"/>
    </row>
    <row r="1135" spans="2:14" x14ac:dyDescent="0.35">
      <c r="B1135" s="58"/>
      <c r="C1135" s="59"/>
      <c r="D1135" s="59"/>
      <c r="E1135" s="60"/>
      <c r="F1135" s="61"/>
      <c r="G1135"/>
      <c r="H1135"/>
      <c r="I1135" s="78"/>
      <c r="J1135" s="62"/>
      <c r="K1135" s="62"/>
      <c r="L1135" s="113"/>
      <c r="M1135" s="67"/>
      <c r="N1135" s="77"/>
    </row>
    <row r="1136" spans="2:14" x14ac:dyDescent="0.35">
      <c r="B1136" s="58"/>
      <c r="C1136" s="59"/>
      <c r="D1136" s="59"/>
      <c r="E1136" s="60"/>
      <c r="F1136" s="61"/>
      <c r="G1136"/>
      <c r="H1136"/>
      <c r="I1136" s="78"/>
      <c r="J1136" s="62"/>
      <c r="K1136" s="62"/>
      <c r="L1136" s="113"/>
      <c r="M1136" s="67"/>
      <c r="N1136" s="77"/>
    </row>
    <row r="1137" spans="2:14" x14ac:dyDescent="0.35">
      <c r="B1137" s="58"/>
      <c r="C1137" s="59"/>
      <c r="D1137" s="59"/>
      <c r="E1137" s="60"/>
      <c r="F1137" s="61"/>
      <c r="G1137"/>
      <c r="H1137"/>
      <c r="I1137" s="78"/>
      <c r="J1137" s="62"/>
      <c r="K1137" s="62"/>
      <c r="L1137" s="113"/>
      <c r="M1137" s="67"/>
      <c r="N1137" s="77"/>
    </row>
    <row r="1138" spans="2:14" x14ac:dyDescent="0.35">
      <c r="B1138" s="58"/>
      <c r="C1138" s="59"/>
      <c r="D1138" s="59"/>
      <c r="E1138" s="60"/>
      <c r="F1138" s="61"/>
      <c r="G1138"/>
      <c r="H1138"/>
      <c r="I1138" s="78"/>
      <c r="J1138" s="62"/>
      <c r="K1138" s="62"/>
      <c r="L1138" s="113"/>
      <c r="M1138" s="67"/>
      <c r="N1138" s="77"/>
    </row>
    <row r="1139" spans="2:14" x14ac:dyDescent="0.35">
      <c r="B1139" s="58"/>
      <c r="C1139" s="59"/>
      <c r="D1139" s="59"/>
      <c r="E1139" s="60"/>
      <c r="F1139" s="61"/>
      <c r="G1139"/>
      <c r="H1139"/>
      <c r="I1139" s="78"/>
      <c r="J1139" s="62"/>
      <c r="K1139" s="62"/>
      <c r="L1139" s="113"/>
      <c r="M1139" s="67"/>
      <c r="N1139" s="77"/>
    </row>
    <row r="1140" spans="2:14" x14ac:dyDescent="0.35">
      <c r="B1140" s="58"/>
      <c r="C1140" s="59"/>
      <c r="D1140" s="59"/>
      <c r="E1140" s="60"/>
      <c r="F1140" s="61"/>
      <c r="G1140"/>
      <c r="H1140"/>
      <c r="I1140" s="78"/>
      <c r="J1140" s="62"/>
      <c r="K1140" s="62"/>
      <c r="L1140" s="113"/>
      <c r="M1140" s="67"/>
      <c r="N1140" s="77"/>
    </row>
    <row r="1141" spans="2:14" x14ac:dyDescent="0.35">
      <c r="B1141" s="58"/>
      <c r="C1141" s="59"/>
      <c r="D1141" s="59"/>
      <c r="E1141" s="60"/>
      <c r="F1141" s="61"/>
      <c r="G1141"/>
      <c r="H1141"/>
      <c r="I1141" s="78"/>
      <c r="J1141" s="62"/>
      <c r="K1141" s="62"/>
      <c r="L1141" s="113"/>
      <c r="M1141" s="67"/>
      <c r="N1141" s="77"/>
    </row>
    <row r="1142" spans="2:14" x14ac:dyDescent="0.35">
      <c r="B1142" s="58"/>
      <c r="C1142" s="59"/>
      <c r="D1142" s="59"/>
      <c r="E1142" s="60"/>
      <c r="F1142" s="61"/>
      <c r="G1142"/>
      <c r="H1142"/>
      <c r="I1142" s="78"/>
      <c r="J1142" s="62"/>
      <c r="K1142" s="62"/>
      <c r="L1142" s="113"/>
      <c r="M1142" s="67"/>
      <c r="N1142" s="77"/>
    </row>
    <row r="1143" spans="2:14" x14ac:dyDescent="0.35">
      <c r="B1143" s="58"/>
      <c r="C1143" s="59"/>
      <c r="D1143" s="59"/>
      <c r="E1143" s="60"/>
      <c r="F1143" s="61"/>
      <c r="G1143"/>
      <c r="H1143"/>
      <c r="I1143" s="78"/>
      <c r="J1143" s="62"/>
      <c r="K1143" s="62"/>
      <c r="L1143" s="113"/>
      <c r="M1143" s="67"/>
      <c r="N1143" s="77"/>
    </row>
    <row r="1144" spans="2:14" x14ac:dyDescent="0.35">
      <c r="B1144" s="58"/>
      <c r="C1144" s="59"/>
      <c r="D1144" s="59"/>
      <c r="E1144" s="60"/>
      <c r="F1144" s="61"/>
      <c r="G1144"/>
      <c r="H1144"/>
      <c r="I1144" s="78"/>
      <c r="J1144" s="62"/>
      <c r="K1144" s="62"/>
      <c r="L1144" s="113"/>
      <c r="M1144" s="67"/>
      <c r="N1144" s="77"/>
    </row>
    <row r="1145" spans="2:14" x14ac:dyDescent="0.35">
      <c r="B1145" s="58"/>
      <c r="C1145" s="59"/>
      <c r="D1145" s="59"/>
      <c r="E1145" s="60"/>
      <c r="F1145" s="61"/>
      <c r="G1145"/>
      <c r="H1145"/>
      <c r="I1145" s="78"/>
      <c r="J1145" s="62"/>
      <c r="K1145" s="62"/>
      <c r="L1145" s="113"/>
      <c r="M1145" s="67"/>
      <c r="N1145" s="77"/>
    </row>
    <row r="1146" spans="2:14" x14ac:dyDescent="0.35">
      <c r="B1146" s="58"/>
      <c r="C1146" s="59"/>
      <c r="D1146" s="59"/>
      <c r="E1146" s="60"/>
      <c r="F1146" s="61"/>
      <c r="G1146"/>
      <c r="H1146"/>
      <c r="I1146" s="78"/>
      <c r="J1146" s="62"/>
      <c r="K1146" s="62"/>
      <c r="L1146" s="113"/>
      <c r="M1146" s="67"/>
      <c r="N1146" s="77"/>
    </row>
    <row r="1147" spans="2:14" x14ac:dyDescent="0.35">
      <c r="B1147" s="58"/>
      <c r="C1147" s="59"/>
      <c r="D1147" s="59"/>
      <c r="E1147" s="60"/>
      <c r="F1147" s="61"/>
      <c r="G1147"/>
      <c r="H1147"/>
      <c r="I1147" s="78"/>
      <c r="J1147" s="62"/>
      <c r="K1147" s="62"/>
      <c r="L1147" s="113"/>
      <c r="M1147" s="67"/>
      <c r="N1147" s="77"/>
    </row>
    <row r="1148" spans="2:14" x14ac:dyDescent="0.35">
      <c r="B1148" s="58"/>
      <c r="C1148" s="59"/>
      <c r="D1148" s="59"/>
      <c r="E1148" s="60"/>
      <c r="F1148" s="61"/>
      <c r="G1148"/>
      <c r="H1148"/>
      <c r="I1148" s="78"/>
      <c r="J1148" s="62"/>
      <c r="K1148" s="62"/>
      <c r="L1148" s="113"/>
      <c r="M1148" s="67"/>
      <c r="N1148" s="77"/>
    </row>
    <row r="1149" spans="2:14" x14ac:dyDescent="0.35">
      <c r="B1149" s="58"/>
      <c r="C1149" s="59"/>
      <c r="D1149" s="59"/>
      <c r="E1149" s="60"/>
      <c r="F1149" s="61"/>
      <c r="G1149"/>
      <c r="H1149"/>
      <c r="I1149" s="78"/>
      <c r="J1149" s="62"/>
      <c r="K1149" s="62"/>
      <c r="L1149" s="113"/>
      <c r="M1149" s="67"/>
      <c r="N1149" s="77"/>
    </row>
    <row r="1150" spans="2:14" x14ac:dyDescent="0.35">
      <c r="B1150" s="58"/>
      <c r="C1150" s="59"/>
      <c r="D1150" s="59"/>
      <c r="E1150" s="60"/>
      <c r="F1150" s="61"/>
      <c r="G1150"/>
      <c r="H1150"/>
      <c r="I1150" s="78"/>
      <c r="J1150" s="62"/>
      <c r="K1150" s="62"/>
      <c r="L1150" s="113"/>
      <c r="M1150" s="67"/>
      <c r="N1150" s="77"/>
    </row>
    <row r="1151" spans="2:14" x14ac:dyDescent="0.35">
      <c r="B1151" s="58"/>
      <c r="C1151" s="59"/>
      <c r="D1151" s="59"/>
      <c r="E1151" s="60"/>
      <c r="F1151" s="61"/>
      <c r="G1151"/>
      <c r="H1151"/>
      <c r="I1151" s="78"/>
      <c r="J1151" s="62"/>
      <c r="K1151" s="62"/>
      <c r="L1151" s="113"/>
      <c r="M1151" s="83"/>
      <c r="N1151" s="77"/>
    </row>
    <row r="1152" spans="2:14" x14ac:dyDescent="0.35">
      <c r="B1152" s="58"/>
      <c r="C1152" s="59"/>
      <c r="D1152" s="59"/>
      <c r="E1152" s="60"/>
      <c r="F1152" s="61"/>
      <c r="G1152"/>
      <c r="H1152"/>
      <c r="I1152" s="78"/>
      <c r="J1152" s="62"/>
      <c r="K1152" s="62"/>
      <c r="L1152" s="113"/>
      <c r="M1152" s="67"/>
      <c r="N1152" s="77"/>
    </row>
    <row r="1153" spans="2:14" x14ac:dyDescent="0.35">
      <c r="B1153" s="58"/>
      <c r="C1153" s="59"/>
      <c r="D1153" s="59"/>
      <c r="E1153" s="60"/>
      <c r="F1153" s="61"/>
      <c r="G1153"/>
      <c r="H1153"/>
      <c r="I1153" s="78"/>
      <c r="J1153" s="62"/>
      <c r="K1153" s="62"/>
      <c r="L1153" s="113"/>
      <c r="M1153" s="67"/>
      <c r="N1153" s="77"/>
    </row>
    <row r="1154" spans="2:14" x14ac:dyDescent="0.35">
      <c r="B1154" s="58"/>
      <c r="C1154" s="59"/>
      <c r="D1154" s="59"/>
      <c r="E1154" s="60"/>
      <c r="F1154" s="61"/>
      <c r="G1154"/>
      <c r="H1154"/>
      <c r="I1154" s="78"/>
      <c r="J1154" s="62"/>
      <c r="K1154" s="62"/>
      <c r="L1154" s="113"/>
      <c r="M1154" s="67"/>
      <c r="N1154" s="77"/>
    </row>
    <row r="1155" spans="2:14" x14ac:dyDescent="0.35">
      <c r="B1155" s="58"/>
      <c r="C1155" s="59"/>
      <c r="D1155" s="59"/>
      <c r="E1155" s="60"/>
      <c r="F1155" s="61"/>
      <c r="G1155"/>
      <c r="H1155"/>
      <c r="I1155" s="78"/>
      <c r="J1155" s="62"/>
      <c r="K1155" s="62"/>
      <c r="L1155" s="113"/>
      <c r="M1155" s="67"/>
      <c r="N1155" s="77"/>
    </row>
    <row r="1156" spans="2:14" x14ac:dyDescent="0.35">
      <c r="B1156" s="58"/>
      <c r="C1156" s="59"/>
      <c r="D1156" s="59"/>
      <c r="E1156" s="60"/>
      <c r="F1156" s="61"/>
      <c r="G1156"/>
      <c r="H1156"/>
      <c r="I1156" s="78"/>
      <c r="J1156" s="62"/>
      <c r="K1156" s="62"/>
      <c r="L1156" s="113"/>
      <c r="M1156" s="67"/>
      <c r="N1156" s="77"/>
    </row>
    <row r="1157" spans="2:14" x14ac:dyDescent="0.35">
      <c r="B1157" s="58"/>
      <c r="C1157" s="59"/>
      <c r="D1157" s="59"/>
      <c r="E1157" s="60"/>
      <c r="F1157" s="61"/>
      <c r="G1157"/>
      <c r="H1157"/>
      <c r="I1157" s="78"/>
      <c r="J1157" s="76"/>
      <c r="K1157" s="107"/>
      <c r="L1157" s="99"/>
      <c r="M1157" s="67"/>
      <c r="N1157" s="77"/>
    </row>
    <row r="1158" spans="2:14" x14ac:dyDescent="0.35">
      <c r="B1158" s="58"/>
      <c r="C1158" s="59"/>
      <c r="D1158" s="59"/>
      <c r="E1158" s="60"/>
      <c r="F1158" s="61"/>
      <c r="G1158"/>
      <c r="H1158"/>
      <c r="I1158" s="78"/>
      <c r="J1158" s="76"/>
      <c r="K1158" s="107"/>
      <c r="L1158" s="99"/>
      <c r="M1158" s="67"/>
      <c r="N1158" s="77"/>
    </row>
    <row r="1159" spans="2:14" x14ac:dyDescent="0.35">
      <c r="B1159" s="58"/>
      <c r="C1159" s="59"/>
      <c r="D1159" s="59"/>
      <c r="E1159" s="60"/>
      <c r="F1159" s="61"/>
      <c r="G1159"/>
      <c r="H1159"/>
      <c r="I1159" s="78"/>
      <c r="J1159" s="76"/>
      <c r="K1159" s="107"/>
      <c r="L1159" s="99"/>
      <c r="M1159" s="67"/>
      <c r="N1159" s="77"/>
    </row>
    <row r="1160" spans="2:14" x14ac:dyDescent="0.35">
      <c r="B1160" s="58"/>
      <c r="C1160" s="59"/>
      <c r="D1160" s="59"/>
      <c r="E1160" s="60"/>
      <c r="F1160" s="61"/>
      <c r="G1160"/>
      <c r="H1160"/>
      <c r="I1160" s="78"/>
      <c r="J1160" s="76"/>
      <c r="K1160" s="107"/>
      <c r="L1160" s="99"/>
      <c r="M1160" s="67"/>
      <c r="N1160" s="77"/>
    </row>
    <row r="1161" spans="2:14" x14ac:dyDescent="0.35">
      <c r="B1161" s="58"/>
      <c r="C1161" s="59"/>
      <c r="D1161" s="59"/>
      <c r="E1161" s="60"/>
      <c r="F1161" s="61"/>
      <c r="G1161"/>
      <c r="H1161"/>
      <c r="I1161" s="78"/>
      <c r="J1161" s="76"/>
      <c r="K1161" s="107"/>
      <c r="L1161" s="99"/>
      <c r="M1161" s="67"/>
      <c r="N1161" s="77"/>
    </row>
    <row r="1162" spans="2:14" x14ac:dyDescent="0.35">
      <c r="B1162" s="58"/>
      <c r="C1162" s="59"/>
      <c r="D1162" s="59"/>
      <c r="E1162" s="60"/>
      <c r="F1162" s="61"/>
      <c r="G1162"/>
      <c r="H1162"/>
      <c r="I1162" s="78"/>
      <c r="J1162" s="76"/>
      <c r="K1162" s="107"/>
      <c r="L1162" s="99"/>
      <c r="M1162" s="67"/>
      <c r="N1162" s="77"/>
    </row>
    <row r="1163" spans="2:14" x14ac:dyDescent="0.35">
      <c r="B1163" s="58"/>
      <c r="C1163" s="59"/>
      <c r="D1163" s="59"/>
      <c r="E1163" s="60"/>
      <c r="F1163" s="61"/>
      <c r="G1163"/>
      <c r="H1163"/>
      <c r="I1163" s="78"/>
      <c r="J1163" s="76"/>
      <c r="K1163" s="107"/>
      <c r="L1163" s="99"/>
      <c r="M1163" s="67"/>
      <c r="N1163" s="77"/>
    </row>
    <row r="1164" spans="2:14" x14ac:dyDescent="0.35">
      <c r="B1164" s="58"/>
      <c r="C1164" s="59"/>
      <c r="D1164" s="59"/>
      <c r="E1164" s="60"/>
      <c r="F1164" s="61"/>
      <c r="G1164"/>
      <c r="H1164"/>
      <c r="I1164" s="78"/>
      <c r="J1164" s="76"/>
      <c r="K1164" s="107"/>
      <c r="L1164" s="99"/>
      <c r="M1164" s="67"/>
      <c r="N1164" s="77"/>
    </row>
    <row r="1165" spans="2:14" x14ac:dyDescent="0.35">
      <c r="B1165" s="58"/>
      <c r="C1165" s="59"/>
      <c r="D1165" s="59"/>
      <c r="E1165" s="60"/>
      <c r="F1165" s="61"/>
      <c r="G1165"/>
      <c r="H1165"/>
      <c r="I1165" s="78"/>
      <c r="J1165" s="76"/>
      <c r="K1165" s="107"/>
      <c r="L1165" s="99"/>
      <c r="M1165" s="67"/>
      <c r="N1165" s="77"/>
    </row>
    <row r="1166" spans="2:14" x14ac:dyDescent="0.35">
      <c r="B1166" s="58"/>
      <c r="C1166" s="59"/>
      <c r="D1166" s="59"/>
      <c r="E1166" s="60"/>
      <c r="F1166" s="61"/>
      <c r="G1166"/>
      <c r="H1166"/>
      <c r="I1166" s="78"/>
      <c r="J1166" s="76"/>
      <c r="K1166" s="107"/>
      <c r="L1166" s="99"/>
      <c r="M1166" s="67"/>
      <c r="N1166" s="77"/>
    </row>
    <row r="1167" spans="2:14" x14ac:dyDescent="0.35">
      <c r="B1167" s="58"/>
      <c r="C1167" s="59"/>
      <c r="D1167" s="59"/>
      <c r="E1167" s="60"/>
      <c r="F1167" s="61"/>
      <c r="G1167"/>
      <c r="H1167"/>
      <c r="I1167" s="78"/>
      <c r="J1167" s="109"/>
      <c r="K1167" s="115"/>
      <c r="L1167" s="98"/>
      <c r="M1167" s="67"/>
      <c r="N1167" s="77"/>
    </row>
    <row r="1168" spans="2:14" x14ac:dyDescent="0.35">
      <c r="B1168" s="58"/>
      <c r="C1168" s="59"/>
      <c r="D1168" s="59"/>
      <c r="E1168" s="60"/>
      <c r="F1168" s="61"/>
      <c r="G1168"/>
      <c r="H1168"/>
      <c r="I1168" s="78"/>
      <c r="J1168" s="109"/>
      <c r="K1168" s="106"/>
      <c r="L1168" s="98"/>
      <c r="M1168" s="67"/>
      <c r="N1168" s="77"/>
    </row>
    <row r="1169" spans="2:14" x14ac:dyDescent="0.35">
      <c r="B1169" s="58"/>
      <c r="C1169" s="59"/>
      <c r="D1169" s="59"/>
      <c r="E1169" s="60"/>
      <c r="F1169" s="61"/>
      <c r="G1169"/>
      <c r="H1169"/>
      <c r="I1169" s="78"/>
      <c r="J1169" s="109"/>
      <c r="K1169" s="106"/>
      <c r="L1169" s="98"/>
      <c r="M1169" s="67"/>
      <c r="N1169" s="77"/>
    </row>
    <row r="1170" spans="2:14" x14ac:dyDescent="0.35">
      <c r="B1170" s="58"/>
      <c r="C1170" s="59"/>
      <c r="D1170" s="59"/>
      <c r="E1170" s="60"/>
      <c r="F1170" s="61"/>
      <c r="G1170"/>
      <c r="H1170"/>
      <c r="I1170" s="78"/>
      <c r="J1170" s="109"/>
      <c r="K1170" s="106"/>
      <c r="L1170" s="98"/>
      <c r="M1170" s="67"/>
      <c r="N1170" s="77"/>
    </row>
    <row r="1171" spans="2:14" x14ac:dyDescent="0.35">
      <c r="B1171" s="58"/>
      <c r="C1171" s="59"/>
      <c r="D1171" s="59"/>
      <c r="E1171" s="60"/>
      <c r="F1171" s="61"/>
      <c r="G1171"/>
      <c r="H1171"/>
      <c r="I1171" s="78"/>
      <c r="J1171" s="109"/>
      <c r="K1171" s="106"/>
      <c r="L1171" s="98"/>
      <c r="M1171" s="67"/>
      <c r="N1171" s="77"/>
    </row>
    <row r="1172" spans="2:14" x14ac:dyDescent="0.35">
      <c r="B1172" s="58"/>
      <c r="C1172" s="59"/>
      <c r="D1172" s="59"/>
      <c r="E1172" s="60"/>
      <c r="F1172" s="61"/>
      <c r="G1172"/>
      <c r="H1172"/>
      <c r="I1172" s="78"/>
      <c r="J1172" s="109"/>
      <c r="K1172" s="107"/>
      <c r="L1172" s="99"/>
      <c r="M1172" s="67"/>
      <c r="N1172" s="77"/>
    </row>
    <row r="1173" spans="2:14" x14ac:dyDescent="0.35">
      <c r="B1173" s="58"/>
      <c r="C1173" s="59"/>
      <c r="D1173" s="59"/>
      <c r="E1173" s="60"/>
      <c r="F1173" s="61"/>
      <c r="G1173"/>
      <c r="H1173"/>
      <c r="I1173" s="78"/>
      <c r="J1173" s="109"/>
      <c r="K1173" s="107"/>
      <c r="L1173" s="99"/>
      <c r="M1173" s="67"/>
      <c r="N1173" s="77"/>
    </row>
    <row r="1174" spans="2:14" x14ac:dyDescent="0.35">
      <c r="B1174" s="58"/>
      <c r="C1174" s="59"/>
      <c r="D1174" s="59"/>
      <c r="E1174" s="60"/>
      <c r="F1174" s="61"/>
      <c r="G1174"/>
      <c r="H1174"/>
      <c r="I1174" s="78"/>
      <c r="J1174" s="76"/>
      <c r="K1174" s="107"/>
      <c r="L1174" s="99"/>
      <c r="M1174" s="67"/>
      <c r="N1174" s="77"/>
    </row>
    <row r="1175" spans="2:14" x14ac:dyDescent="0.35">
      <c r="B1175" s="58"/>
      <c r="C1175" s="59"/>
      <c r="D1175" s="59"/>
      <c r="E1175" s="60"/>
      <c r="F1175" s="61"/>
      <c r="G1175"/>
      <c r="H1175"/>
      <c r="I1175" s="78"/>
      <c r="J1175" s="76"/>
      <c r="K1175" s="107"/>
      <c r="L1175" s="99"/>
      <c r="M1175" s="67"/>
      <c r="N1175" s="77"/>
    </row>
    <row r="1176" spans="2:14" x14ac:dyDescent="0.35">
      <c r="B1176" s="58"/>
      <c r="C1176" s="59"/>
      <c r="D1176" s="59"/>
      <c r="E1176" s="60"/>
      <c r="F1176" s="61"/>
      <c r="G1176"/>
      <c r="H1176"/>
      <c r="I1176" s="78"/>
      <c r="J1176" s="76"/>
      <c r="K1176" s="107"/>
      <c r="L1176" s="99"/>
      <c r="M1176" s="67"/>
      <c r="N1176" s="77"/>
    </row>
    <row r="1177" spans="2:14" x14ac:dyDescent="0.35">
      <c r="B1177" s="58"/>
      <c r="C1177" s="59"/>
      <c r="D1177" s="59"/>
      <c r="E1177" s="60"/>
      <c r="F1177" s="61"/>
      <c r="G1177"/>
      <c r="H1177"/>
      <c r="I1177" s="78"/>
      <c r="J1177" s="109"/>
      <c r="K1177" s="106"/>
      <c r="L1177" s="98"/>
      <c r="M1177" s="67"/>
      <c r="N1177" s="77"/>
    </row>
    <row r="1178" spans="2:14" x14ac:dyDescent="0.35">
      <c r="B1178" s="58"/>
      <c r="C1178" s="59"/>
      <c r="D1178" s="59"/>
      <c r="E1178" s="60"/>
      <c r="F1178" s="61"/>
      <c r="G1178"/>
      <c r="H1178"/>
      <c r="I1178" s="78"/>
      <c r="J1178" s="109"/>
      <c r="K1178" s="106"/>
      <c r="L1178" s="98"/>
      <c r="M1178" s="67"/>
      <c r="N1178" s="77"/>
    </row>
    <row r="1179" spans="2:14" x14ac:dyDescent="0.35">
      <c r="B1179" s="58"/>
      <c r="C1179" s="59"/>
      <c r="D1179" s="59"/>
      <c r="E1179" s="60"/>
      <c r="F1179" s="61"/>
      <c r="G1179"/>
      <c r="H1179"/>
      <c r="I1179" s="78"/>
      <c r="J1179" s="109"/>
      <c r="K1179" s="106"/>
      <c r="L1179" s="98"/>
      <c r="M1179" s="67"/>
      <c r="N1179" s="77"/>
    </row>
    <row r="1180" spans="2:14" x14ac:dyDescent="0.35">
      <c r="B1180" s="58"/>
      <c r="C1180" s="59"/>
      <c r="D1180" s="59"/>
      <c r="E1180" s="60"/>
      <c r="F1180" s="61"/>
      <c r="G1180"/>
      <c r="H1180"/>
      <c r="I1180" s="78"/>
      <c r="J1180" s="109"/>
      <c r="K1180" s="106"/>
      <c r="L1180" s="98"/>
      <c r="M1180" s="67"/>
      <c r="N1180" s="77"/>
    </row>
    <row r="1181" spans="2:14" x14ac:dyDescent="0.35">
      <c r="B1181" s="58"/>
      <c r="C1181" s="59"/>
      <c r="D1181" s="59"/>
      <c r="E1181" s="60"/>
      <c r="F1181" s="61"/>
      <c r="G1181"/>
      <c r="H1181"/>
      <c r="I1181" s="78"/>
      <c r="J1181" s="109"/>
      <c r="K1181" s="106"/>
      <c r="L1181" s="98"/>
      <c r="M1181" s="67"/>
      <c r="N1181" s="77"/>
    </row>
    <row r="1182" spans="2:14" x14ac:dyDescent="0.35">
      <c r="B1182" s="58"/>
      <c r="C1182" s="59"/>
      <c r="D1182" s="59"/>
      <c r="E1182" s="60"/>
      <c r="F1182" s="61"/>
      <c r="G1182"/>
      <c r="H1182"/>
      <c r="I1182" s="78"/>
      <c r="J1182" s="109"/>
      <c r="K1182" s="108"/>
      <c r="L1182" s="98"/>
      <c r="M1182" s="67"/>
      <c r="N1182" s="77"/>
    </row>
    <row r="1183" spans="2:14" x14ac:dyDescent="0.35">
      <c r="B1183" s="58"/>
      <c r="C1183" s="59"/>
      <c r="D1183" s="59"/>
      <c r="E1183" s="60"/>
      <c r="F1183" s="61"/>
      <c r="G1183"/>
      <c r="H1183"/>
      <c r="I1183" s="78"/>
      <c r="J1183" s="109"/>
      <c r="K1183" s="106"/>
      <c r="L1183" s="98"/>
      <c r="M1183" s="67"/>
      <c r="N1183" s="77"/>
    </row>
    <row r="1184" spans="2:14" x14ac:dyDescent="0.35">
      <c r="B1184" s="58"/>
      <c r="C1184" s="59"/>
      <c r="D1184" s="59"/>
      <c r="E1184" s="60"/>
      <c r="F1184" s="61"/>
      <c r="G1184"/>
      <c r="H1184"/>
      <c r="I1184" s="78"/>
      <c r="J1184" s="109"/>
      <c r="K1184" s="106"/>
      <c r="L1184" s="98"/>
      <c r="M1184" s="67"/>
      <c r="N1184" s="77"/>
    </row>
    <row r="1185" spans="2:14" x14ac:dyDescent="0.35">
      <c r="B1185" s="58"/>
      <c r="C1185" s="59"/>
      <c r="D1185" s="59"/>
      <c r="E1185" s="60"/>
      <c r="F1185" s="61"/>
      <c r="G1185"/>
      <c r="H1185"/>
      <c r="I1185" s="78"/>
      <c r="J1185" s="109"/>
      <c r="K1185" s="106"/>
      <c r="L1185" s="98"/>
      <c r="M1185" s="67"/>
      <c r="N1185" s="77"/>
    </row>
    <row r="1186" spans="2:14" x14ac:dyDescent="0.35">
      <c r="B1186" s="58"/>
      <c r="C1186" s="59"/>
      <c r="D1186" s="59"/>
      <c r="E1186" s="60"/>
      <c r="F1186" s="61"/>
      <c r="G1186"/>
      <c r="H1186"/>
      <c r="I1186" s="78"/>
      <c r="J1186" s="109"/>
      <c r="K1186" s="106"/>
      <c r="L1186" s="98"/>
      <c r="M1186" s="67"/>
      <c r="N1186" s="77"/>
    </row>
    <row r="1187" spans="2:14" x14ac:dyDescent="0.35">
      <c r="B1187" s="58"/>
      <c r="C1187" s="59"/>
      <c r="D1187" s="59"/>
      <c r="E1187" s="60"/>
      <c r="F1187" s="61"/>
      <c r="G1187"/>
      <c r="H1187"/>
      <c r="I1187" s="78"/>
      <c r="J1187" s="109"/>
      <c r="K1187" s="106"/>
      <c r="L1187" s="98"/>
      <c r="M1187" s="67"/>
      <c r="N1187" s="77"/>
    </row>
    <row r="1188" spans="2:14" x14ac:dyDescent="0.35">
      <c r="B1188" s="58"/>
      <c r="C1188" s="59"/>
      <c r="D1188" s="59"/>
      <c r="E1188" s="60"/>
      <c r="F1188" s="61"/>
      <c r="G1188"/>
      <c r="H1188"/>
      <c r="I1188" s="78"/>
      <c r="J1188" s="109"/>
      <c r="K1188" s="106"/>
      <c r="L1188" s="98"/>
      <c r="M1188" s="67"/>
      <c r="N1188" s="77"/>
    </row>
    <row r="1189" spans="2:14" x14ac:dyDescent="0.35">
      <c r="B1189" s="58"/>
      <c r="C1189" s="59"/>
      <c r="D1189" s="59"/>
      <c r="E1189" s="60"/>
      <c r="F1189" s="61"/>
      <c r="G1189"/>
      <c r="H1189"/>
      <c r="I1189" s="78"/>
      <c r="J1189" s="109"/>
      <c r="K1189" s="106"/>
      <c r="L1189" s="98"/>
      <c r="M1189" s="67"/>
      <c r="N1189" s="77"/>
    </row>
    <row r="1190" spans="2:14" x14ac:dyDescent="0.35">
      <c r="B1190" s="58"/>
      <c r="C1190" s="59"/>
      <c r="D1190" s="59"/>
      <c r="E1190" s="60"/>
      <c r="F1190" s="61"/>
      <c r="G1190"/>
      <c r="H1190"/>
      <c r="I1190" s="78"/>
      <c r="J1190" s="109"/>
      <c r="K1190" s="106"/>
      <c r="L1190" s="98"/>
      <c r="M1190" s="67"/>
    </row>
    <row r="1191" spans="2:14" x14ac:dyDescent="0.35">
      <c r="B1191" s="58"/>
      <c r="C1191" s="59"/>
      <c r="D1191" s="59"/>
      <c r="E1191" s="60"/>
      <c r="F1191" s="61"/>
      <c r="G1191"/>
      <c r="H1191"/>
      <c r="I1191" s="78"/>
      <c r="J1191" s="76"/>
      <c r="K1191" s="107"/>
      <c r="L1191" s="99"/>
      <c r="M1191" s="67"/>
    </row>
    <row r="1192" spans="2:14" x14ac:dyDescent="0.35">
      <c r="B1192" s="58"/>
      <c r="C1192" s="59"/>
      <c r="D1192" s="59"/>
      <c r="E1192" s="60"/>
      <c r="F1192" s="61"/>
      <c r="G1192"/>
      <c r="H1192"/>
      <c r="I1192" s="78"/>
      <c r="J1192" s="76"/>
      <c r="K1192" s="107"/>
      <c r="L1192" s="99"/>
      <c r="M1192" s="67"/>
    </row>
    <row r="1193" spans="2:14" x14ac:dyDescent="0.35">
      <c r="B1193" s="58"/>
      <c r="C1193" s="59"/>
      <c r="D1193" s="59"/>
      <c r="E1193" s="60"/>
      <c r="F1193" s="61"/>
      <c r="G1193"/>
      <c r="H1193"/>
      <c r="I1193" s="78"/>
      <c r="J1193" s="76"/>
      <c r="K1193" s="107"/>
      <c r="L1193" s="99"/>
      <c r="M1193" s="67"/>
    </row>
    <row r="1194" spans="2:14" x14ac:dyDescent="0.35">
      <c r="B1194" s="58"/>
      <c r="C1194" s="59"/>
      <c r="D1194" s="59"/>
      <c r="E1194" s="60"/>
      <c r="F1194" s="61"/>
      <c r="G1194"/>
      <c r="H1194"/>
      <c r="I1194" s="78"/>
      <c r="J1194" s="109"/>
      <c r="K1194" s="108"/>
      <c r="L1194" s="98"/>
      <c r="M1194" s="67"/>
    </row>
    <row r="1195" spans="2:14" x14ac:dyDescent="0.35">
      <c r="B1195" s="58"/>
      <c r="C1195" s="59"/>
      <c r="D1195" s="59"/>
      <c r="E1195" s="60"/>
      <c r="F1195" s="61"/>
      <c r="G1195"/>
      <c r="H1195"/>
      <c r="I1195" s="78"/>
      <c r="J1195" s="109"/>
      <c r="K1195" s="106"/>
      <c r="L1195" s="98"/>
      <c r="M1195" s="67"/>
    </row>
    <row r="1196" spans="2:14" x14ac:dyDescent="0.35">
      <c r="B1196" s="58"/>
      <c r="C1196" s="59"/>
      <c r="D1196" s="59"/>
      <c r="E1196" s="60"/>
      <c r="F1196" s="61"/>
      <c r="G1196"/>
      <c r="H1196"/>
      <c r="I1196" s="78"/>
      <c r="J1196" s="109"/>
      <c r="K1196" s="106"/>
      <c r="L1196" s="98"/>
      <c r="M1196" s="67"/>
    </row>
    <row r="1197" spans="2:14" x14ac:dyDescent="0.35">
      <c r="B1197" s="58"/>
      <c r="C1197" s="59"/>
      <c r="D1197" s="59"/>
      <c r="E1197" s="60"/>
      <c r="F1197" s="61"/>
      <c r="G1197"/>
      <c r="H1197"/>
      <c r="I1197" s="78"/>
      <c r="J1197" s="76"/>
      <c r="K1197" s="107"/>
      <c r="L1197" s="99"/>
      <c r="M1197" s="67"/>
    </row>
    <row r="1198" spans="2:14" x14ac:dyDescent="0.35">
      <c r="B1198" s="58"/>
      <c r="C1198" s="59"/>
      <c r="D1198" s="59"/>
      <c r="E1198" s="60"/>
      <c r="F1198" s="61"/>
      <c r="G1198"/>
      <c r="H1198"/>
      <c r="I1198" s="78"/>
      <c r="J1198" s="76"/>
      <c r="K1198" s="107"/>
      <c r="L1198" s="99"/>
      <c r="M1198" s="67"/>
    </row>
    <row r="1199" spans="2:14" x14ac:dyDescent="0.35">
      <c r="B1199" s="58"/>
      <c r="C1199" s="59"/>
      <c r="D1199" s="59"/>
      <c r="E1199" s="60"/>
      <c r="F1199" s="61"/>
      <c r="G1199"/>
      <c r="H1199"/>
      <c r="I1199" s="78"/>
      <c r="J1199" s="76"/>
      <c r="K1199" s="107"/>
      <c r="L1199" s="99"/>
      <c r="M1199" s="67"/>
    </row>
    <row r="1200" spans="2:14" x14ac:dyDescent="0.35">
      <c r="B1200" s="58"/>
      <c r="C1200" s="59"/>
      <c r="D1200" s="59"/>
      <c r="E1200" s="60"/>
      <c r="F1200" s="61"/>
      <c r="G1200"/>
      <c r="H1200"/>
      <c r="I1200" s="78"/>
      <c r="J1200" s="109"/>
      <c r="K1200" s="106"/>
      <c r="L1200" s="98"/>
      <c r="M1200" s="67"/>
    </row>
    <row r="1201" spans="2:13" x14ac:dyDescent="0.35">
      <c r="B1201" s="58"/>
      <c r="C1201" s="59"/>
      <c r="D1201" s="59"/>
      <c r="E1201" s="60"/>
      <c r="F1201" s="61"/>
      <c r="G1201"/>
      <c r="H1201"/>
      <c r="I1201" s="78"/>
      <c r="J1201" s="76"/>
      <c r="K1201" s="107"/>
      <c r="L1201" s="99"/>
      <c r="M1201" s="67"/>
    </row>
    <row r="1202" spans="2:13" x14ac:dyDescent="0.35">
      <c r="B1202" s="58"/>
      <c r="C1202" s="59"/>
      <c r="D1202" s="59"/>
      <c r="E1202" s="60"/>
      <c r="F1202" s="61"/>
      <c r="G1202"/>
      <c r="H1202"/>
      <c r="I1202" s="78"/>
      <c r="J1202" s="76"/>
      <c r="K1202" s="107"/>
      <c r="L1202" s="99"/>
      <c r="M1202" s="67"/>
    </row>
    <row r="1203" spans="2:13" x14ac:dyDescent="0.35">
      <c r="B1203" s="58"/>
      <c r="C1203" s="59"/>
      <c r="D1203" s="59"/>
      <c r="E1203" s="60"/>
      <c r="F1203" s="61"/>
      <c r="G1203"/>
      <c r="H1203"/>
      <c r="I1203" s="78"/>
      <c r="J1203" s="76"/>
      <c r="K1203" s="107"/>
      <c r="L1203" s="99"/>
      <c r="M1203" s="67"/>
    </row>
    <row r="1204" spans="2:13" x14ac:dyDescent="0.35">
      <c r="B1204" s="58"/>
      <c r="C1204" s="59"/>
      <c r="D1204" s="59"/>
      <c r="E1204" s="60"/>
      <c r="F1204" s="61"/>
      <c r="G1204"/>
      <c r="H1204"/>
      <c r="I1204" s="78"/>
      <c r="J1204" s="76"/>
      <c r="K1204" s="107"/>
      <c r="L1204" s="99"/>
      <c r="M1204" s="67"/>
    </row>
    <row r="1205" spans="2:13" x14ac:dyDescent="0.35">
      <c r="B1205" s="58"/>
      <c r="C1205" s="59"/>
      <c r="D1205" s="59"/>
      <c r="E1205" s="60"/>
      <c r="F1205" s="61"/>
      <c r="G1205"/>
      <c r="H1205"/>
      <c r="I1205" s="78"/>
      <c r="J1205" s="76"/>
      <c r="K1205" s="107"/>
      <c r="L1205" s="99"/>
      <c r="M1205" s="67"/>
    </row>
    <row r="1206" spans="2:13" x14ac:dyDescent="0.35">
      <c r="B1206" s="58"/>
      <c r="C1206" s="59"/>
      <c r="D1206" s="59"/>
      <c r="E1206" s="60"/>
      <c r="F1206" s="61"/>
      <c r="G1206"/>
      <c r="H1206"/>
      <c r="I1206" s="78"/>
      <c r="J1206" s="76"/>
      <c r="K1206" s="107"/>
      <c r="L1206" s="99"/>
      <c r="M1206" s="67"/>
    </row>
    <row r="1207" spans="2:13" x14ac:dyDescent="0.35">
      <c r="B1207" s="58"/>
      <c r="C1207" s="59"/>
      <c r="D1207" s="59"/>
      <c r="E1207" s="60"/>
      <c r="F1207" s="61"/>
      <c r="G1207"/>
      <c r="H1207"/>
      <c r="I1207" s="78"/>
      <c r="J1207" s="76"/>
      <c r="K1207" s="107"/>
      <c r="L1207" s="99"/>
      <c r="M1207" s="67"/>
    </row>
    <row r="1208" spans="2:13" x14ac:dyDescent="0.35">
      <c r="B1208" s="58"/>
      <c r="C1208" s="59"/>
      <c r="D1208" s="59"/>
      <c r="E1208" s="60"/>
      <c r="F1208" s="61"/>
      <c r="G1208"/>
      <c r="H1208"/>
      <c r="I1208" s="78"/>
      <c r="J1208" s="76"/>
      <c r="K1208" s="107"/>
      <c r="L1208" s="99"/>
      <c r="M1208" s="67"/>
    </row>
    <row r="1209" spans="2:13" x14ac:dyDescent="0.35">
      <c r="B1209" s="58"/>
      <c r="C1209" s="59"/>
      <c r="D1209" s="59"/>
      <c r="E1209" s="60"/>
      <c r="F1209" s="61"/>
      <c r="G1209"/>
      <c r="H1209"/>
      <c r="I1209" s="78"/>
      <c r="J1209" s="76"/>
      <c r="K1209" s="107"/>
      <c r="L1209" s="99"/>
      <c r="M1209" s="67"/>
    </row>
    <row r="1210" spans="2:13" x14ac:dyDescent="0.35">
      <c r="B1210" s="58"/>
      <c r="C1210" s="59"/>
      <c r="D1210" s="59"/>
      <c r="E1210" s="60"/>
      <c r="F1210" s="61"/>
      <c r="G1210"/>
      <c r="H1210"/>
      <c r="I1210" s="78"/>
      <c r="J1210" s="76"/>
      <c r="K1210" s="107"/>
      <c r="L1210" s="99"/>
      <c r="M1210" s="67"/>
    </row>
    <row r="1211" spans="2:13" x14ac:dyDescent="0.35">
      <c r="B1211" s="58"/>
      <c r="C1211" s="59"/>
      <c r="D1211" s="59"/>
      <c r="E1211" s="60"/>
      <c r="F1211" s="61"/>
      <c r="G1211"/>
      <c r="H1211"/>
      <c r="I1211" s="78"/>
      <c r="J1211" s="76"/>
      <c r="K1211" s="107"/>
      <c r="L1211" s="99"/>
      <c r="M1211" s="67"/>
    </row>
    <row r="1212" spans="2:13" x14ac:dyDescent="0.35">
      <c r="B1212" s="58"/>
      <c r="C1212" s="59"/>
      <c r="D1212" s="59"/>
      <c r="E1212" s="60"/>
      <c r="F1212" s="61"/>
      <c r="G1212"/>
      <c r="H1212"/>
      <c r="I1212" s="78"/>
      <c r="J1212" s="109"/>
      <c r="K1212" s="106"/>
      <c r="L1212" s="98"/>
      <c r="M1212" s="67"/>
    </row>
    <row r="1213" spans="2:13" x14ac:dyDescent="0.35">
      <c r="B1213" s="58"/>
      <c r="C1213" s="59"/>
      <c r="D1213" s="59"/>
      <c r="E1213" s="60"/>
      <c r="F1213" s="61"/>
      <c r="G1213"/>
      <c r="H1213"/>
      <c r="I1213" s="78"/>
      <c r="J1213" s="109"/>
      <c r="K1213" s="106"/>
      <c r="L1213" s="98"/>
      <c r="M1213" s="67"/>
    </row>
    <row r="1214" spans="2:13" x14ac:dyDescent="0.35">
      <c r="B1214" s="58"/>
      <c r="C1214" s="59"/>
      <c r="D1214" s="59"/>
      <c r="E1214" s="60"/>
      <c r="F1214" s="61"/>
      <c r="G1214"/>
      <c r="H1214"/>
      <c r="I1214" s="78"/>
      <c r="J1214" s="109"/>
      <c r="K1214" s="106"/>
      <c r="L1214" s="98"/>
      <c r="M1214" s="67"/>
    </row>
    <row r="1215" spans="2:13" x14ac:dyDescent="0.35">
      <c r="B1215" s="58"/>
      <c r="C1215" s="59"/>
      <c r="D1215" s="59"/>
      <c r="E1215" s="60"/>
      <c r="F1215" s="61"/>
      <c r="G1215"/>
      <c r="H1215"/>
      <c r="I1215" s="78"/>
      <c r="J1215" s="109"/>
      <c r="K1215" s="106"/>
      <c r="L1215" s="98"/>
      <c r="M1215" s="67"/>
    </row>
    <row r="1216" spans="2:13" x14ac:dyDescent="0.35">
      <c r="B1216" s="58"/>
      <c r="C1216" s="59"/>
      <c r="D1216" s="59"/>
      <c r="E1216" s="60"/>
      <c r="F1216" s="61"/>
      <c r="G1216"/>
      <c r="H1216"/>
      <c r="I1216" s="78"/>
      <c r="J1216" s="109"/>
      <c r="K1216" s="106"/>
      <c r="L1216" s="98"/>
      <c r="M1216" s="83"/>
    </row>
    <row r="1217" spans="2:13" x14ac:dyDescent="0.35">
      <c r="B1217" s="58"/>
      <c r="C1217" s="59"/>
      <c r="D1217" s="59"/>
      <c r="E1217" s="60"/>
      <c r="F1217" s="61"/>
      <c r="G1217"/>
      <c r="H1217"/>
      <c r="I1217" s="78"/>
      <c r="J1217" s="109"/>
      <c r="K1217" s="106"/>
      <c r="L1217" s="98"/>
      <c r="M1217" s="83"/>
    </row>
    <row r="1218" spans="2:13" x14ac:dyDescent="0.35">
      <c r="B1218" s="58"/>
      <c r="C1218" s="59"/>
      <c r="D1218" s="59"/>
      <c r="E1218" s="60"/>
      <c r="F1218" s="61"/>
      <c r="G1218"/>
      <c r="H1218"/>
      <c r="I1218" s="78"/>
      <c r="J1218" s="109"/>
      <c r="K1218" s="106"/>
      <c r="L1218" s="98"/>
      <c r="M1218" s="83"/>
    </row>
    <row r="1219" spans="2:13" x14ac:dyDescent="0.35">
      <c r="B1219" s="58"/>
      <c r="C1219" s="59"/>
      <c r="D1219" s="59"/>
      <c r="E1219" s="60"/>
      <c r="F1219" s="61"/>
      <c r="G1219"/>
      <c r="H1219"/>
      <c r="I1219" s="78"/>
      <c r="J1219" s="109"/>
      <c r="K1219" s="106"/>
      <c r="L1219" s="98"/>
      <c r="M1219" s="67"/>
    </row>
    <row r="1220" spans="2:13" x14ac:dyDescent="0.35">
      <c r="B1220" s="58"/>
      <c r="C1220" s="59"/>
      <c r="D1220" s="59"/>
      <c r="E1220" s="60"/>
      <c r="F1220" s="61"/>
      <c r="G1220"/>
      <c r="H1220"/>
      <c r="I1220" s="78"/>
      <c r="J1220" s="109"/>
      <c r="K1220" s="106"/>
      <c r="L1220" s="98"/>
      <c r="M1220" s="67"/>
    </row>
    <row r="1221" spans="2:13" x14ac:dyDescent="0.35">
      <c r="B1221" s="58"/>
      <c r="C1221" s="59"/>
      <c r="D1221" s="59"/>
      <c r="E1221" s="60"/>
      <c r="F1221" s="61"/>
      <c r="G1221"/>
      <c r="H1221"/>
      <c r="I1221" s="78"/>
      <c r="J1221" s="109"/>
      <c r="K1221" s="106"/>
      <c r="L1221" s="98"/>
      <c r="M1221" s="67"/>
    </row>
    <row r="1222" spans="2:13" x14ac:dyDescent="0.35">
      <c r="B1222" s="58"/>
      <c r="C1222" s="59"/>
      <c r="D1222" s="59"/>
      <c r="E1222" s="60"/>
      <c r="F1222" s="61"/>
      <c r="G1222"/>
      <c r="H1222"/>
      <c r="I1222" s="78"/>
      <c r="J1222" s="109"/>
      <c r="K1222" s="106"/>
      <c r="L1222" s="98"/>
      <c r="M1222" s="67"/>
    </row>
    <row r="1223" spans="2:13" x14ac:dyDescent="0.35">
      <c r="B1223" s="58"/>
      <c r="C1223" s="59"/>
      <c r="D1223" s="59"/>
      <c r="E1223" s="60"/>
      <c r="F1223" s="61"/>
      <c r="G1223"/>
      <c r="H1223"/>
      <c r="I1223" s="78"/>
      <c r="J1223" s="109"/>
      <c r="K1223" s="106"/>
      <c r="L1223" s="98"/>
      <c r="M1223" s="67"/>
    </row>
    <row r="1224" spans="2:13" x14ac:dyDescent="0.35">
      <c r="B1224" s="58"/>
      <c r="C1224" s="59"/>
      <c r="D1224" s="59"/>
      <c r="E1224" s="60"/>
      <c r="F1224" s="61"/>
      <c r="G1224"/>
      <c r="H1224"/>
      <c r="I1224" s="78"/>
      <c r="J1224" s="109"/>
      <c r="K1224" s="107"/>
      <c r="L1224" s="98"/>
      <c r="M1224" s="67"/>
    </row>
    <row r="1225" spans="2:13" x14ac:dyDescent="0.35">
      <c r="B1225" s="58"/>
      <c r="C1225" s="59"/>
      <c r="D1225" s="59"/>
      <c r="E1225" s="60"/>
      <c r="F1225" s="61"/>
      <c r="G1225"/>
      <c r="H1225"/>
      <c r="I1225" s="78"/>
      <c r="J1225" s="109"/>
      <c r="K1225" s="106"/>
      <c r="L1225" s="98"/>
      <c r="M1225" s="67"/>
    </row>
    <row r="1226" spans="2:13" x14ac:dyDescent="0.35">
      <c r="B1226" s="58"/>
      <c r="C1226" s="59"/>
      <c r="D1226" s="59"/>
      <c r="E1226" s="60"/>
      <c r="F1226" s="61"/>
      <c r="G1226"/>
      <c r="H1226"/>
      <c r="I1226" s="78"/>
      <c r="J1226" s="109"/>
      <c r="K1226" s="106"/>
      <c r="L1226" s="98"/>
      <c r="M1226" s="67"/>
    </row>
    <row r="1227" spans="2:13" x14ac:dyDescent="0.35">
      <c r="B1227" s="58"/>
      <c r="C1227" s="59"/>
      <c r="D1227" s="59"/>
      <c r="E1227" s="60"/>
      <c r="F1227" s="61"/>
      <c r="G1227"/>
      <c r="H1227"/>
      <c r="I1227" s="78"/>
      <c r="J1227" s="109"/>
      <c r="K1227" s="106"/>
      <c r="L1227" s="98"/>
      <c r="M1227" s="67"/>
    </row>
    <row r="1228" spans="2:13" x14ac:dyDescent="0.35">
      <c r="B1228" s="58"/>
      <c r="C1228" s="59"/>
      <c r="D1228" s="59"/>
      <c r="E1228" s="60"/>
      <c r="F1228" s="61"/>
      <c r="G1228"/>
      <c r="H1228"/>
      <c r="I1228" s="78"/>
      <c r="J1228" s="109"/>
      <c r="K1228" s="106"/>
      <c r="L1228" s="98"/>
      <c r="M1228" s="67"/>
    </row>
    <row r="1229" spans="2:13" x14ac:dyDescent="0.35">
      <c r="B1229" s="58"/>
      <c r="C1229" s="59"/>
      <c r="D1229" s="59"/>
      <c r="E1229" s="60"/>
      <c r="F1229" s="61"/>
      <c r="G1229"/>
      <c r="H1229"/>
      <c r="I1229" s="78"/>
      <c r="J1229" s="109"/>
      <c r="K1229" s="106"/>
      <c r="L1229" s="98"/>
      <c r="M1229" s="67"/>
    </row>
    <row r="1230" spans="2:13" x14ac:dyDescent="0.35">
      <c r="B1230" s="58"/>
      <c r="C1230" s="59"/>
      <c r="D1230" s="59"/>
      <c r="E1230" s="60"/>
      <c r="F1230" s="61"/>
      <c r="G1230"/>
      <c r="H1230"/>
      <c r="I1230" s="78"/>
      <c r="J1230" s="109"/>
      <c r="K1230" s="106"/>
      <c r="L1230" s="98"/>
      <c r="M1230" s="67"/>
    </row>
    <row r="1231" spans="2:13" x14ac:dyDescent="0.35">
      <c r="B1231" s="58"/>
      <c r="C1231" s="59"/>
      <c r="D1231" s="59"/>
      <c r="E1231" s="60"/>
      <c r="F1231" s="61"/>
      <c r="G1231"/>
      <c r="H1231"/>
      <c r="I1231" s="78"/>
      <c r="J1231" s="109"/>
      <c r="K1231" s="106"/>
      <c r="L1231" s="98"/>
      <c r="M1231" s="67"/>
    </row>
    <row r="1232" spans="2:13" x14ac:dyDescent="0.35">
      <c r="B1232" s="58"/>
      <c r="C1232" s="59"/>
      <c r="D1232" s="59"/>
      <c r="E1232" s="60"/>
      <c r="F1232" s="61"/>
      <c r="G1232"/>
      <c r="H1232"/>
      <c r="I1232" s="78"/>
      <c r="J1232" s="109"/>
      <c r="K1232" s="106"/>
      <c r="L1232" s="98"/>
      <c r="M1232" s="67"/>
    </row>
    <row r="1233" spans="2:13" x14ac:dyDescent="0.35">
      <c r="B1233" s="58"/>
      <c r="C1233" s="59"/>
      <c r="D1233" s="59"/>
      <c r="E1233" s="60"/>
      <c r="F1233" s="61"/>
      <c r="G1233"/>
      <c r="H1233"/>
      <c r="I1233" s="78"/>
      <c r="J1233" s="109"/>
      <c r="K1233" s="106"/>
      <c r="L1233" s="98"/>
      <c r="M1233" s="67"/>
    </row>
    <row r="1234" spans="2:13" x14ac:dyDescent="0.35">
      <c r="B1234" s="58"/>
      <c r="C1234" s="59"/>
      <c r="D1234" s="59"/>
      <c r="E1234" s="60"/>
      <c r="F1234" s="61"/>
      <c r="G1234"/>
      <c r="H1234"/>
      <c r="I1234" s="78"/>
      <c r="J1234" s="109"/>
      <c r="K1234" s="106"/>
      <c r="L1234" s="98"/>
      <c r="M1234" s="67"/>
    </row>
    <row r="1235" spans="2:13" x14ac:dyDescent="0.35">
      <c r="B1235" s="58"/>
      <c r="C1235" s="59"/>
      <c r="D1235" s="59"/>
      <c r="E1235" s="60"/>
      <c r="F1235" s="61"/>
      <c r="G1235"/>
      <c r="H1235"/>
      <c r="I1235" s="78"/>
      <c r="J1235" s="109"/>
      <c r="K1235" s="106"/>
      <c r="L1235" s="98"/>
      <c r="M1235" s="67"/>
    </row>
    <row r="1236" spans="2:13" x14ac:dyDescent="0.35">
      <c r="B1236" s="58"/>
      <c r="C1236" s="59"/>
      <c r="D1236" s="59"/>
      <c r="E1236" s="60"/>
      <c r="F1236" s="61"/>
      <c r="G1236"/>
      <c r="H1236"/>
      <c r="I1236" s="78"/>
      <c r="J1236" s="109"/>
      <c r="K1236" s="106"/>
      <c r="L1236" s="98"/>
      <c r="M1236" s="67"/>
    </row>
    <row r="1237" spans="2:13" x14ac:dyDescent="0.35">
      <c r="B1237" s="58"/>
      <c r="C1237" s="59"/>
      <c r="D1237" s="59"/>
      <c r="E1237" s="60"/>
      <c r="F1237" s="61"/>
      <c r="G1237"/>
      <c r="H1237"/>
      <c r="I1237" s="78"/>
      <c r="J1237" s="109"/>
      <c r="K1237" s="106"/>
      <c r="L1237" s="98"/>
      <c r="M1237" s="67"/>
    </row>
    <row r="1238" spans="2:13" x14ac:dyDescent="0.35">
      <c r="B1238" s="58"/>
      <c r="C1238" s="59"/>
      <c r="D1238" s="59"/>
      <c r="E1238" s="60"/>
      <c r="F1238" s="61"/>
      <c r="G1238"/>
      <c r="H1238"/>
      <c r="I1238" s="78"/>
      <c r="J1238" s="109"/>
      <c r="K1238" s="106"/>
      <c r="L1238" s="98"/>
      <c r="M1238" s="67"/>
    </row>
    <row r="1239" spans="2:13" x14ac:dyDescent="0.35">
      <c r="B1239" s="58"/>
      <c r="C1239" s="59"/>
      <c r="D1239" s="59"/>
      <c r="E1239" s="60"/>
      <c r="F1239" s="61"/>
      <c r="G1239"/>
      <c r="H1239"/>
      <c r="I1239" s="78"/>
      <c r="J1239" s="109"/>
      <c r="K1239" s="106"/>
      <c r="L1239" s="98"/>
      <c r="M1239" s="67"/>
    </row>
    <row r="1240" spans="2:13" x14ac:dyDescent="0.35">
      <c r="B1240" s="58"/>
      <c r="C1240" s="59"/>
      <c r="D1240" s="59"/>
      <c r="E1240" s="60"/>
      <c r="F1240" s="61"/>
      <c r="G1240"/>
      <c r="H1240"/>
      <c r="I1240" s="78"/>
      <c r="J1240" s="109"/>
      <c r="K1240" s="106"/>
      <c r="L1240" s="98"/>
      <c r="M1240" s="67"/>
    </row>
    <row r="1241" spans="2:13" x14ac:dyDescent="0.35">
      <c r="B1241" s="58"/>
      <c r="C1241" s="59"/>
      <c r="D1241" s="59"/>
      <c r="E1241" s="60"/>
      <c r="F1241" s="61"/>
      <c r="G1241"/>
      <c r="H1241"/>
      <c r="I1241" s="78"/>
      <c r="J1241" s="109"/>
      <c r="K1241" s="106"/>
      <c r="L1241" s="98"/>
      <c r="M1241" s="67"/>
    </row>
    <row r="1242" spans="2:13" x14ac:dyDescent="0.35">
      <c r="B1242" s="58"/>
      <c r="C1242" s="59"/>
      <c r="D1242" s="59"/>
      <c r="E1242" s="60"/>
      <c r="F1242" s="61"/>
      <c r="G1242"/>
      <c r="H1242"/>
      <c r="I1242" s="78"/>
      <c r="J1242" s="109"/>
      <c r="K1242" s="106"/>
      <c r="L1242" s="98"/>
      <c r="M1242" s="67"/>
    </row>
    <row r="1243" spans="2:13" x14ac:dyDescent="0.35">
      <c r="B1243" s="58"/>
      <c r="C1243" s="59"/>
      <c r="D1243" s="59"/>
      <c r="E1243" s="60"/>
      <c r="F1243" s="61"/>
      <c r="G1243"/>
      <c r="H1243"/>
      <c r="I1243" s="78"/>
      <c r="J1243" s="109"/>
      <c r="K1243" s="106"/>
      <c r="L1243" s="98"/>
      <c r="M1243" s="67"/>
    </row>
    <row r="1244" spans="2:13" x14ac:dyDescent="0.35">
      <c r="B1244" s="58"/>
      <c r="C1244" s="59"/>
      <c r="D1244" s="59"/>
      <c r="E1244" s="60"/>
      <c r="F1244" s="61"/>
      <c r="G1244"/>
      <c r="H1244"/>
      <c r="I1244" s="78"/>
      <c r="J1244" s="109"/>
      <c r="K1244" s="107"/>
      <c r="L1244" s="99"/>
      <c r="M1244" s="67"/>
    </row>
    <row r="1245" spans="2:13" x14ac:dyDescent="0.35">
      <c r="B1245" s="58"/>
      <c r="C1245" s="59"/>
      <c r="D1245" s="59"/>
      <c r="E1245" s="60"/>
      <c r="F1245" s="61"/>
      <c r="G1245"/>
      <c r="H1245"/>
      <c r="I1245" s="78"/>
      <c r="J1245" s="109"/>
      <c r="K1245" s="107"/>
      <c r="L1245" s="99"/>
      <c r="M1245" s="67"/>
    </row>
    <row r="1246" spans="2:13" x14ac:dyDescent="0.35">
      <c r="B1246" s="58"/>
      <c r="C1246" s="59"/>
      <c r="D1246" s="59"/>
      <c r="E1246" s="60"/>
      <c r="F1246" s="61"/>
      <c r="G1246"/>
      <c r="H1246"/>
      <c r="I1246" s="78"/>
      <c r="J1246" s="76"/>
      <c r="K1246" s="107"/>
      <c r="L1246" s="99"/>
      <c r="M1246" s="67"/>
    </row>
    <row r="1247" spans="2:13" x14ac:dyDescent="0.35">
      <c r="B1247" s="58"/>
      <c r="C1247" s="59"/>
      <c r="D1247" s="59"/>
      <c r="E1247" s="60"/>
      <c r="F1247" s="61"/>
      <c r="G1247"/>
      <c r="H1247"/>
      <c r="I1247" s="78"/>
      <c r="J1247" s="76"/>
      <c r="K1247" s="107"/>
      <c r="L1247" s="99"/>
      <c r="M1247" s="67"/>
    </row>
    <row r="1248" spans="2:13" x14ac:dyDescent="0.35">
      <c r="B1248" s="58"/>
      <c r="C1248" s="59"/>
      <c r="D1248" s="59"/>
      <c r="E1248" s="60"/>
      <c r="F1248" s="61"/>
      <c r="G1248"/>
      <c r="H1248"/>
      <c r="I1248" s="78"/>
      <c r="J1248" s="76"/>
      <c r="K1248" s="107"/>
      <c r="L1248" s="99"/>
      <c r="M1248" s="67"/>
    </row>
    <row r="1249" spans="2:13" x14ac:dyDescent="0.35">
      <c r="B1249" s="58"/>
      <c r="C1249" s="59"/>
      <c r="D1249" s="59"/>
      <c r="E1249" s="60"/>
      <c r="F1249" s="61"/>
      <c r="G1249"/>
      <c r="H1249"/>
      <c r="I1249" s="78"/>
      <c r="J1249" s="76"/>
      <c r="K1249" s="107"/>
      <c r="L1249" s="99"/>
      <c r="M1249" s="67"/>
    </row>
    <row r="1250" spans="2:13" x14ac:dyDescent="0.35">
      <c r="B1250" s="58"/>
      <c r="C1250" s="59"/>
      <c r="D1250" s="59"/>
      <c r="E1250" s="60"/>
      <c r="F1250" s="61"/>
      <c r="G1250"/>
      <c r="H1250"/>
      <c r="I1250" s="78"/>
      <c r="J1250" s="76"/>
      <c r="K1250" s="107"/>
      <c r="L1250" s="99"/>
      <c r="M1250" s="67"/>
    </row>
    <row r="1251" spans="2:13" x14ac:dyDescent="0.35">
      <c r="B1251" s="58"/>
      <c r="C1251" s="59"/>
      <c r="D1251" s="59"/>
      <c r="E1251" s="60"/>
      <c r="F1251" s="61"/>
      <c r="G1251"/>
      <c r="H1251"/>
      <c r="I1251" s="78"/>
      <c r="J1251" s="76"/>
      <c r="K1251" s="107"/>
      <c r="L1251" s="99"/>
      <c r="M1251" s="67"/>
    </row>
    <row r="1252" spans="2:13" x14ac:dyDescent="0.35">
      <c r="B1252" s="58"/>
      <c r="C1252" s="59"/>
      <c r="D1252" s="59"/>
      <c r="E1252" s="60"/>
      <c r="F1252" s="61"/>
      <c r="G1252"/>
      <c r="H1252"/>
      <c r="I1252" s="78"/>
      <c r="J1252" s="76"/>
      <c r="K1252" s="107"/>
      <c r="L1252" s="99"/>
      <c r="M1252" s="67"/>
    </row>
    <row r="1253" spans="2:13" x14ac:dyDescent="0.35">
      <c r="B1253" s="58"/>
      <c r="C1253" s="59"/>
      <c r="D1253" s="59"/>
      <c r="E1253" s="60"/>
      <c r="F1253" s="61"/>
      <c r="G1253"/>
      <c r="H1253"/>
      <c r="I1253" s="78"/>
      <c r="J1253" s="76"/>
      <c r="K1253" s="107"/>
      <c r="L1253" s="99"/>
      <c r="M1253" s="67"/>
    </row>
    <row r="1254" spans="2:13" x14ac:dyDescent="0.35">
      <c r="B1254" s="58"/>
      <c r="C1254" s="59"/>
      <c r="D1254" s="59"/>
      <c r="E1254" s="60"/>
      <c r="F1254" s="61"/>
      <c r="G1254"/>
      <c r="H1254"/>
      <c r="I1254" s="78"/>
      <c r="J1254" s="76"/>
      <c r="K1254" s="107"/>
      <c r="L1254" s="99"/>
      <c r="M1254" s="67"/>
    </row>
    <row r="1255" spans="2:13" x14ac:dyDescent="0.35">
      <c r="B1255" s="58"/>
      <c r="C1255" s="59"/>
      <c r="D1255" s="59"/>
      <c r="E1255" s="60"/>
      <c r="F1255" s="61"/>
      <c r="G1255"/>
      <c r="H1255"/>
      <c r="I1255" s="78"/>
      <c r="J1255" s="76"/>
      <c r="K1255" s="107"/>
      <c r="L1255" s="99"/>
      <c r="M1255" s="67"/>
    </row>
    <row r="1256" spans="2:13" x14ac:dyDescent="0.35">
      <c r="B1256" s="58"/>
      <c r="C1256" s="59"/>
      <c r="D1256" s="59"/>
      <c r="E1256" s="60"/>
      <c r="F1256" s="61"/>
      <c r="G1256"/>
      <c r="H1256"/>
      <c r="I1256" s="78"/>
      <c r="J1256" s="76"/>
      <c r="K1256" s="107"/>
      <c r="L1256" s="99"/>
      <c r="M1256" s="67"/>
    </row>
    <row r="1257" spans="2:13" x14ac:dyDescent="0.35">
      <c r="B1257" s="58"/>
      <c r="C1257" s="59"/>
      <c r="D1257" s="59"/>
      <c r="E1257" s="60"/>
      <c r="F1257" s="61"/>
      <c r="G1257"/>
      <c r="H1257"/>
      <c r="I1257" s="78"/>
      <c r="J1257" s="76"/>
      <c r="K1257" s="107"/>
      <c r="L1257" s="99"/>
      <c r="M1257" s="67"/>
    </row>
    <row r="1258" spans="2:13" x14ac:dyDescent="0.35">
      <c r="B1258" s="58"/>
      <c r="C1258" s="59"/>
      <c r="D1258" s="59"/>
      <c r="E1258" s="60"/>
      <c r="F1258" s="61"/>
      <c r="G1258"/>
      <c r="H1258"/>
      <c r="I1258" s="78"/>
      <c r="J1258" s="76"/>
      <c r="K1258" s="107"/>
      <c r="L1258" s="99"/>
      <c r="M1258" s="67"/>
    </row>
    <row r="1259" spans="2:13" x14ac:dyDescent="0.35">
      <c r="B1259" s="58"/>
      <c r="C1259" s="59"/>
      <c r="D1259" s="59"/>
      <c r="E1259" s="60"/>
      <c r="F1259" s="61"/>
      <c r="G1259"/>
      <c r="H1259"/>
      <c r="I1259" s="78"/>
      <c r="J1259" s="76"/>
      <c r="K1259" s="107"/>
      <c r="L1259" s="99"/>
      <c r="M1259" s="67"/>
    </row>
    <row r="1260" spans="2:13" x14ac:dyDescent="0.35">
      <c r="B1260" s="58"/>
      <c r="C1260" s="59"/>
      <c r="D1260" s="59"/>
      <c r="E1260" s="60"/>
      <c r="F1260" s="61"/>
      <c r="G1260"/>
      <c r="H1260"/>
      <c r="I1260" s="78"/>
      <c r="J1260" s="76"/>
      <c r="K1260" s="107"/>
      <c r="L1260" s="99"/>
      <c r="M1260" s="67"/>
    </row>
    <row r="1261" spans="2:13" x14ac:dyDescent="0.35">
      <c r="B1261" s="58"/>
      <c r="C1261" s="59"/>
      <c r="D1261" s="59"/>
      <c r="E1261" s="60"/>
      <c r="F1261" s="61"/>
      <c r="G1261"/>
      <c r="H1261"/>
      <c r="I1261" s="78"/>
      <c r="J1261" s="109"/>
      <c r="K1261" s="106"/>
      <c r="L1261" s="98"/>
      <c r="M1261" s="67"/>
    </row>
    <row r="1262" spans="2:13" x14ac:dyDescent="0.35">
      <c r="B1262" s="58"/>
      <c r="C1262" s="59"/>
      <c r="D1262" s="59"/>
      <c r="E1262" s="60"/>
      <c r="F1262" s="61"/>
      <c r="G1262"/>
      <c r="H1262"/>
      <c r="I1262" s="78"/>
      <c r="J1262" s="109"/>
      <c r="K1262" s="107"/>
      <c r="L1262" s="99"/>
      <c r="M1262" s="67"/>
    </row>
    <row r="1263" spans="2:13" x14ac:dyDescent="0.35">
      <c r="B1263" s="58"/>
      <c r="C1263" s="59"/>
      <c r="D1263" s="59"/>
      <c r="E1263" s="60"/>
      <c r="F1263" s="61"/>
      <c r="G1263"/>
      <c r="H1263"/>
      <c r="I1263" s="78"/>
      <c r="J1263" s="109"/>
      <c r="K1263" s="107"/>
      <c r="L1263" s="99"/>
      <c r="M1263" s="67"/>
    </row>
    <row r="1264" spans="2:13" x14ac:dyDescent="0.35">
      <c r="B1264" s="58"/>
      <c r="C1264" s="59"/>
      <c r="D1264" s="59"/>
      <c r="E1264" s="60"/>
      <c r="F1264" s="61"/>
      <c r="G1264"/>
      <c r="H1264"/>
      <c r="I1264" s="78"/>
      <c r="J1264" s="109"/>
      <c r="K1264" s="106"/>
      <c r="L1264" s="98"/>
      <c r="M1264" s="67"/>
    </row>
    <row r="1265" spans="2:13" x14ac:dyDescent="0.35">
      <c r="B1265" s="58"/>
      <c r="C1265" s="59"/>
      <c r="D1265" s="59"/>
      <c r="E1265" s="60"/>
      <c r="F1265" s="61"/>
      <c r="G1265"/>
      <c r="H1265"/>
      <c r="I1265" s="78"/>
      <c r="J1265" s="76"/>
      <c r="K1265" s="107"/>
      <c r="L1265" s="99"/>
      <c r="M1265" s="67"/>
    </row>
    <row r="1266" spans="2:13" x14ac:dyDescent="0.35">
      <c r="B1266" s="58"/>
      <c r="C1266" s="59"/>
      <c r="D1266" s="59"/>
      <c r="E1266" s="60"/>
      <c r="F1266" s="61"/>
      <c r="G1266"/>
      <c r="H1266"/>
      <c r="I1266" s="78"/>
      <c r="J1266" s="76"/>
      <c r="K1266" s="107"/>
      <c r="L1266" s="99"/>
      <c r="M1266" s="67"/>
    </row>
    <row r="1267" spans="2:13" x14ac:dyDescent="0.35">
      <c r="B1267" s="58"/>
      <c r="C1267" s="59"/>
      <c r="D1267" s="59"/>
      <c r="E1267" s="60"/>
      <c r="F1267" s="61"/>
      <c r="G1267"/>
      <c r="H1267"/>
      <c r="I1267" s="78"/>
      <c r="J1267" s="109"/>
      <c r="K1267" s="106"/>
      <c r="L1267" s="98"/>
      <c r="M1267" s="67"/>
    </row>
    <row r="1268" spans="2:13" x14ac:dyDescent="0.35">
      <c r="B1268" s="58"/>
      <c r="C1268" s="59"/>
      <c r="D1268" s="59"/>
      <c r="E1268" s="60"/>
      <c r="F1268" s="61"/>
      <c r="G1268"/>
      <c r="H1268"/>
      <c r="I1268" s="78"/>
      <c r="J1268" s="109"/>
      <c r="K1268" s="106"/>
      <c r="L1268" s="98"/>
      <c r="M1268" s="114"/>
    </row>
    <row r="1269" spans="2:13" x14ac:dyDescent="0.35">
      <c r="B1269" s="58"/>
      <c r="C1269" s="59"/>
      <c r="D1269" s="59"/>
      <c r="E1269" s="60"/>
      <c r="F1269" s="61"/>
      <c r="G1269"/>
      <c r="H1269"/>
      <c r="I1269" s="78"/>
      <c r="J1269" s="76"/>
      <c r="K1269" s="107"/>
      <c r="L1269" s="99"/>
      <c r="M1269" s="67"/>
    </row>
    <row r="1270" spans="2:13" x14ac:dyDescent="0.35">
      <c r="B1270" s="58"/>
      <c r="C1270" s="59"/>
      <c r="D1270" s="59"/>
      <c r="E1270" s="60"/>
      <c r="F1270" s="61"/>
      <c r="G1270"/>
      <c r="H1270"/>
      <c r="I1270" s="78"/>
      <c r="J1270" s="90"/>
      <c r="K1270" s="106"/>
      <c r="L1270" s="98"/>
      <c r="M1270" s="67"/>
    </row>
    <row r="1271" spans="2:13" x14ac:dyDescent="0.35">
      <c r="B1271" s="58"/>
      <c r="C1271" s="59"/>
      <c r="D1271" s="59"/>
      <c r="E1271" s="60"/>
      <c r="F1271" s="61"/>
      <c r="G1271"/>
      <c r="H1271"/>
      <c r="I1271" s="78"/>
      <c r="J1271" s="90"/>
      <c r="K1271" s="106"/>
      <c r="L1271" s="104"/>
      <c r="M1271" s="67"/>
    </row>
    <row r="1272" spans="2:13" x14ac:dyDescent="0.35">
      <c r="B1272" s="58"/>
      <c r="C1272" s="59"/>
      <c r="D1272" s="59"/>
      <c r="E1272" s="60"/>
      <c r="F1272" s="61"/>
      <c r="G1272"/>
      <c r="H1272"/>
      <c r="I1272" s="78"/>
      <c r="J1272" s="90"/>
      <c r="K1272" s="107"/>
      <c r="L1272" s="99"/>
      <c r="M1272" s="67"/>
    </row>
    <row r="1273" spans="2:13" x14ac:dyDescent="0.35">
      <c r="B1273" s="58"/>
      <c r="C1273" s="59"/>
      <c r="D1273" s="59"/>
      <c r="E1273" s="60"/>
      <c r="F1273" s="61"/>
      <c r="G1273"/>
      <c r="H1273"/>
      <c r="I1273" s="78"/>
      <c r="J1273" s="76"/>
      <c r="K1273" s="107"/>
      <c r="L1273" s="99"/>
      <c r="M1273" s="67"/>
    </row>
    <row r="1274" spans="2:13" x14ac:dyDescent="0.35">
      <c r="B1274" s="58"/>
      <c r="C1274" s="59"/>
      <c r="D1274" s="59"/>
      <c r="E1274" s="60"/>
      <c r="F1274" s="61"/>
      <c r="G1274"/>
      <c r="H1274"/>
      <c r="I1274" s="78"/>
      <c r="J1274" s="90"/>
      <c r="K1274" s="107"/>
      <c r="L1274" s="99"/>
      <c r="M1274" s="67"/>
    </row>
    <row r="1275" spans="2:13" x14ac:dyDescent="0.35">
      <c r="B1275" s="58"/>
      <c r="C1275" s="59"/>
      <c r="D1275" s="59"/>
      <c r="E1275" s="60"/>
      <c r="F1275" s="61"/>
      <c r="G1275"/>
      <c r="H1275"/>
      <c r="I1275" s="78"/>
      <c r="J1275" s="90"/>
      <c r="K1275" s="107"/>
      <c r="L1275" s="99"/>
      <c r="M1275" s="67"/>
    </row>
    <row r="1276" spans="2:13" x14ac:dyDescent="0.35">
      <c r="B1276" s="58"/>
      <c r="C1276" s="59"/>
      <c r="D1276" s="59"/>
      <c r="E1276" s="60"/>
      <c r="F1276" s="61"/>
      <c r="G1276"/>
      <c r="H1276"/>
      <c r="I1276" s="78"/>
      <c r="J1276" s="90"/>
      <c r="K1276" s="106"/>
      <c r="L1276" s="98"/>
      <c r="M1276" s="67"/>
    </row>
    <row r="1277" spans="2:13" x14ac:dyDescent="0.35">
      <c r="B1277" s="58"/>
      <c r="C1277" s="59"/>
      <c r="D1277" s="59"/>
      <c r="E1277" s="60"/>
      <c r="F1277" s="61"/>
      <c r="G1277"/>
      <c r="H1277"/>
      <c r="I1277" s="78"/>
      <c r="J1277" s="76"/>
      <c r="K1277" s="107"/>
      <c r="L1277" s="99"/>
      <c r="M1277" s="67"/>
    </row>
    <row r="1278" spans="2:13" x14ac:dyDescent="0.35">
      <c r="B1278" s="58"/>
      <c r="C1278" s="59"/>
      <c r="D1278" s="59"/>
      <c r="E1278" s="60"/>
      <c r="F1278" s="61"/>
      <c r="G1278"/>
      <c r="H1278"/>
      <c r="I1278" s="78"/>
      <c r="J1278" s="76"/>
      <c r="K1278" s="107"/>
      <c r="L1278" s="99"/>
      <c r="M1278" s="67"/>
    </row>
    <row r="1279" spans="2:13" x14ac:dyDescent="0.35">
      <c r="B1279" s="58"/>
      <c r="C1279" s="59"/>
      <c r="D1279" s="59"/>
      <c r="E1279" s="60"/>
      <c r="F1279" s="61"/>
      <c r="G1279"/>
      <c r="H1279"/>
      <c r="I1279" s="78"/>
      <c r="J1279" s="90"/>
      <c r="K1279" s="106"/>
      <c r="L1279" s="98"/>
      <c r="M1279" s="67"/>
    </row>
    <row r="1280" spans="2:13" x14ac:dyDescent="0.35">
      <c r="B1280" s="58"/>
      <c r="C1280" s="59"/>
      <c r="D1280" s="59"/>
      <c r="E1280" s="60"/>
      <c r="F1280" s="61"/>
      <c r="G1280"/>
      <c r="H1280"/>
      <c r="I1280" s="78"/>
      <c r="J1280" s="90"/>
      <c r="K1280" s="106"/>
      <c r="L1280" s="98"/>
      <c r="M1280" s="67"/>
    </row>
    <row r="1281" spans="2:13" x14ac:dyDescent="0.35">
      <c r="B1281" s="58"/>
      <c r="C1281" s="59"/>
      <c r="D1281" s="59"/>
      <c r="E1281" s="60"/>
      <c r="F1281" s="61"/>
      <c r="G1281"/>
      <c r="H1281"/>
      <c r="I1281" s="78"/>
      <c r="J1281" s="90"/>
      <c r="K1281" s="106"/>
      <c r="L1281" s="98"/>
      <c r="M1281" s="67"/>
    </row>
    <row r="1282" spans="2:13" x14ac:dyDescent="0.35">
      <c r="B1282" s="58"/>
      <c r="C1282" s="59"/>
      <c r="D1282" s="59"/>
      <c r="E1282" s="60"/>
      <c r="F1282" s="61"/>
      <c r="G1282"/>
      <c r="H1282"/>
      <c r="I1282" s="78"/>
      <c r="J1282" s="90"/>
      <c r="K1282" s="107"/>
      <c r="L1282" s="99"/>
      <c r="M1282" s="67"/>
    </row>
    <row r="1283" spans="2:13" x14ac:dyDescent="0.35">
      <c r="B1283" s="58"/>
      <c r="C1283" s="59"/>
      <c r="D1283" s="59"/>
      <c r="E1283" s="60"/>
      <c r="F1283" s="61"/>
      <c r="G1283"/>
      <c r="H1283"/>
      <c r="I1283" s="78"/>
      <c r="J1283" s="90"/>
      <c r="K1283" s="107"/>
      <c r="L1283" s="99"/>
      <c r="M1283" s="67"/>
    </row>
    <row r="1284" spans="2:13" x14ac:dyDescent="0.35">
      <c r="B1284" s="58"/>
      <c r="C1284" s="59"/>
      <c r="D1284" s="59"/>
      <c r="E1284" s="60"/>
      <c r="F1284" s="61"/>
      <c r="G1284"/>
      <c r="H1284"/>
      <c r="I1284" s="78"/>
      <c r="J1284" s="90"/>
      <c r="K1284" s="106"/>
      <c r="L1284" s="98"/>
      <c r="M1284" s="83"/>
    </row>
    <row r="1285" spans="2:13" x14ac:dyDescent="0.35">
      <c r="B1285" s="58"/>
      <c r="C1285" s="59"/>
      <c r="D1285" s="59"/>
      <c r="E1285" s="60"/>
      <c r="F1285" s="61"/>
      <c r="G1285"/>
      <c r="H1285"/>
      <c r="I1285" s="78"/>
      <c r="J1285" s="90"/>
      <c r="K1285" s="106"/>
      <c r="L1285" s="104"/>
      <c r="M1285" s="67"/>
    </row>
    <row r="1286" spans="2:13" x14ac:dyDescent="0.35">
      <c r="B1286" s="58"/>
      <c r="C1286" s="59"/>
      <c r="D1286" s="59"/>
      <c r="E1286" s="60"/>
      <c r="F1286" s="61"/>
      <c r="G1286"/>
      <c r="H1286"/>
      <c r="I1286" s="78"/>
      <c r="J1286" s="76"/>
      <c r="K1286" s="107"/>
      <c r="L1286" s="99"/>
      <c r="M1286" s="67"/>
    </row>
    <row r="1287" spans="2:13" x14ac:dyDescent="0.35">
      <c r="B1287" s="58"/>
      <c r="C1287" s="59"/>
      <c r="D1287" s="59"/>
      <c r="E1287" s="60"/>
      <c r="F1287" s="61"/>
      <c r="G1287"/>
      <c r="H1287"/>
      <c r="I1287" s="78"/>
      <c r="J1287" s="76"/>
      <c r="K1287" s="107"/>
      <c r="L1287" s="99"/>
      <c r="M1287" s="67"/>
    </row>
    <row r="1288" spans="2:13" x14ac:dyDescent="0.35">
      <c r="B1288" s="58"/>
      <c r="C1288" s="59"/>
      <c r="D1288" s="59"/>
      <c r="E1288" s="60"/>
      <c r="F1288" s="61"/>
      <c r="G1288"/>
      <c r="H1288"/>
      <c r="I1288" s="78"/>
      <c r="J1288" s="76"/>
      <c r="K1288" s="107"/>
      <c r="L1288" s="99"/>
      <c r="M1288" s="67"/>
    </row>
    <row r="1289" spans="2:13" x14ac:dyDescent="0.35">
      <c r="B1289" s="58"/>
      <c r="C1289" s="59"/>
      <c r="D1289" s="59"/>
      <c r="E1289" s="60"/>
      <c r="F1289" s="61"/>
      <c r="G1289"/>
      <c r="H1289"/>
      <c r="I1289" s="78"/>
      <c r="J1289" s="76"/>
      <c r="K1289" s="107"/>
      <c r="L1289" s="99"/>
      <c r="M1289" s="67"/>
    </row>
    <row r="1290" spans="2:13" x14ac:dyDescent="0.35">
      <c r="B1290" s="58"/>
      <c r="C1290" s="59"/>
      <c r="D1290" s="59"/>
      <c r="E1290" s="60"/>
      <c r="F1290" s="61"/>
      <c r="G1290"/>
      <c r="H1290"/>
      <c r="I1290" s="78"/>
      <c r="J1290" s="76"/>
      <c r="K1290" s="107"/>
      <c r="L1290" s="99"/>
      <c r="M1290" s="67"/>
    </row>
    <row r="1291" spans="2:13" x14ac:dyDescent="0.35">
      <c r="B1291" s="58"/>
      <c r="C1291" s="59"/>
      <c r="D1291" s="59"/>
      <c r="E1291" s="60"/>
      <c r="F1291" s="61"/>
      <c r="G1291"/>
      <c r="H1291"/>
      <c r="I1291" s="78"/>
      <c r="J1291" s="76"/>
      <c r="K1291" s="107"/>
      <c r="L1291" s="99"/>
      <c r="M1291" s="67"/>
    </row>
    <row r="1292" spans="2:13" x14ac:dyDescent="0.35">
      <c r="B1292" s="58"/>
      <c r="C1292" s="59"/>
      <c r="D1292" s="59"/>
      <c r="E1292" s="60"/>
      <c r="F1292" s="61"/>
      <c r="G1292"/>
      <c r="H1292"/>
      <c r="I1292" s="78"/>
      <c r="J1292" s="76"/>
      <c r="K1292" s="107"/>
      <c r="L1292" s="99"/>
      <c r="M1292" s="67"/>
    </row>
    <row r="1293" spans="2:13" x14ac:dyDescent="0.35">
      <c r="B1293" s="58"/>
      <c r="C1293" s="59"/>
      <c r="D1293" s="59"/>
      <c r="E1293" s="60"/>
      <c r="F1293" s="61"/>
      <c r="G1293"/>
      <c r="H1293"/>
      <c r="I1293" s="78"/>
      <c r="J1293" s="76"/>
      <c r="K1293" s="107"/>
      <c r="L1293" s="99"/>
      <c r="M1293" s="67"/>
    </row>
    <row r="1294" spans="2:13" x14ac:dyDescent="0.35">
      <c r="B1294" s="58"/>
      <c r="C1294" s="59"/>
      <c r="D1294" s="59"/>
      <c r="E1294" s="60"/>
      <c r="F1294" s="61"/>
      <c r="G1294"/>
      <c r="H1294"/>
      <c r="I1294" s="78"/>
      <c r="J1294" s="76"/>
      <c r="K1294" s="107"/>
      <c r="L1294" s="99"/>
      <c r="M1294" s="67"/>
    </row>
    <row r="1295" spans="2:13" x14ac:dyDescent="0.35">
      <c r="B1295" s="58"/>
      <c r="C1295" s="59"/>
      <c r="D1295" s="59"/>
      <c r="E1295" s="60"/>
      <c r="F1295" s="61"/>
      <c r="G1295"/>
      <c r="H1295"/>
      <c r="I1295" s="78"/>
      <c r="J1295" s="76"/>
      <c r="K1295" s="107"/>
      <c r="L1295" s="99"/>
      <c r="M1295" s="67"/>
    </row>
    <row r="1296" spans="2:13" x14ac:dyDescent="0.35">
      <c r="B1296" s="58"/>
      <c r="C1296" s="59"/>
      <c r="D1296" s="59"/>
      <c r="E1296" s="60"/>
      <c r="F1296" s="61"/>
      <c r="G1296"/>
      <c r="H1296"/>
      <c r="I1296" s="78"/>
      <c r="J1296" s="76"/>
      <c r="K1296" s="107"/>
      <c r="L1296" s="99"/>
      <c r="M1296" s="67"/>
    </row>
    <row r="1297" spans="2:13" x14ac:dyDescent="0.35">
      <c r="B1297" s="58"/>
      <c r="C1297" s="59"/>
      <c r="D1297" s="59"/>
      <c r="E1297" s="60"/>
      <c r="F1297" s="61"/>
      <c r="G1297"/>
      <c r="H1297"/>
      <c r="I1297" s="78"/>
      <c r="J1297" s="76"/>
      <c r="K1297" s="107"/>
      <c r="L1297" s="99"/>
      <c r="M1297" s="67"/>
    </row>
    <row r="1298" spans="2:13" x14ac:dyDescent="0.35">
      <c r="B1298" s="58"/>
      <c r="C1298" s="59"/>
      <c r="D1298" s="59"/>
      <c r="E1298" s="60"/>
      <c r="F1298" s="61"/>
      <c r="G1298"/>
      <c r="H1298"/>
      <c r="I1298" s="78"/>
      <c r="J1298" s="76"/>
      <c r="K1298" s="107"/>
      <c r="L1298" s="99"/>
      <c r="M1298" s="67"/>
    </row>
    <row r="1299" spans="2:13" x14ac:dyDescent="0.35">
      <c r="B1299" s="58"/>
      <c r="C1299" s="59"/>
      <c r="D1299" s="59"/>
      <c r="E1299" s="60"/>
      <c r="F1299" s="61"/>
      <c r="G1299"/>
      <c r="H1299"/>
      <c r="I1299" s="78"/>
      <c r="J1299" s="76"/>
      <c r="K1299" s="107"/>
      <c r="L1299" s="99"/>
      <c r="M1299" s="67"/>
    </row>
    <row r="1300" spans="2:13" x14ac:dyDescent="0.35">
      <c r="B1300" s="58"/>
      <c r="C1300" s="59"/>
      <c r="D1300" s="59"/>
      <c r="E1300" s="60"/>
      <c r="F1300" s="61"/>
      <c r="G1300"/>
      <c r="H1300"/>
      <c r="I1300" s="78"/>
      <c r="J1300" s="76"/>
      <c r="K1300" s="107"/>
      <c r="L1300" s="99"/>
      <c r="M1300" s="67"/>
    </row>
    <row r="1301" spans="2:13" x14ac:dyDescent="0.35">
      <c r="B1301" s="58"/>
      <c r="C1301" s="59"/>
      <c r="D1301" s="59"/>
      <c r="E1301" s="60"/>
      <c r="F1301" s="61"/>
      <c r="G1301"/>
      <c r="H1301"/>
      <c r="I1301" s="78"/>
      <c r="J1301" s="76"/>
      <c r="K1301" s="107"/>
      <c r="L1301" s="99"/>
      <c r="M1301" s="67"/>
    </row>
    <row r="1302" spans="2:13" x14ac:dyDescent="0.35">
      <c r="B1302" s="58"/>
      <c r="C1302" s="59"/>
      <c r="D1302" s="59"/>
      <c r="E1302" s="60"/>
      <c r="F1302" s="61"/>
      <c r="G1302"/>
      <c r="H1302"/>
      <c r="I1302" s="78"/>
      <c r="J1302" s="76"/>
      <c r="K1302" s="107"/>
      <c r="L1302" s="99"/>
      <c r="M1302" s="67"/>
    </row>
    <row r="1303" spans="2:13" x14ac:dyDescent="0.35">
      <c r="B1303" s="58"/>
      <c r="C1303" s="59"/>
      <c r="D1303" s="59"/>
      <c r="E1303" s="60"/>
      <c r="F1303" s="61"/>
      <c r="G1303"/>
      <c r="H1303"/>
      <c r="I1303" s="78"/>
      <c r="J1303" s="76"/>
      <c r="K1303" s="107"/>
      <c r="L1303" s="99"/>
      <c r="M1303" s="67"/>
    </row>
    <row r="1304" spans="2:13" x14ac:dyDescent="0.35">
      <c r="B1304" s="58"/>
      <c r="C1304" s="59"/>
      <c r="D1304" s="59"/>
      <c r="E1304" s="60"/>
      <c r="F1304" s="61"/>
      <c r="G1304"/>
      <c r="H1304"/>
      <c r="I1304" s="78"/>
      <c r="J1304" s="76"/>
      <c r="K1304" s="107"/>
      <c r="L1304" s="99"/>
      <c r="M1304" s="67"/>
    </row>
    <row r="1305" spans="2:13" x14ac:dyDescent="0.35">
      <c r="B1305" s="58"/>
      <c r="C1305" s="59"/>
      <c r="D1305" s="59"/>
      <c r="E1305" s="60"/>
      <c r="F1305" s="61"/>
      <c r="G1305"/>
      <c r="H1305"/>
      <c r="I1305" s="78"/>
      <c r="J1305" s="76"/>
      <c r="K1305" s="107"/>
      <c r="L1305" s="99"/>
      <c r="M1305" s="67"/>
    </row>
    <row r="1306" spans="2:13" x14ac:dyDescent="0.35">
      <c r="B1306" s="58"/>
      <c r="C1306" s="59"/>
      <c r="D1306" s="59"/>
      <c r="E1306" s="60"/>
      <c r="F1306" s="61"/>
      <c r="G1306"/>
      <c r="H1306"/>
      <c r="I1306" s="78"/>
      <c r="J1306" s="76"/>
      <c r="K1306" s="107"/>
      <c r="L1306" s="99"/>
      <c r="M1306" s="67"/>
    </row>
    <row r="1307" spans="2:13" x14ac:dyDescent="0.35">
      <c r="B1307" s="58"/>
      <c r="C1307" s="59"/>
      <c r="D1307" s="59"/>
      <c r="E1307" s="60"/>
      <c r="F1307" s="61"/>
      <c r="G1307"/>
      <c r="H1307"/>
      <c r="I1307" s="78"/>
      <c r="J1307" s="76"/>
      <c r="K1307" s="107"/>
      <c r="L1307" s="99"/>
      <c r="M1307" s="67"/>
    </row>
    <row r="1308" spans="2:13" x14ac:dyDescent="0.35">
      <c r="B1308" s="58"/>
      <c r="C1308" s="59"/>
      <c r="D1308" s="59"/>
      <c r="E1308" s="60"/>
      <c r="F1308" s="61"/>
      <c r="G1308"/>
      <c r="H1308"/>
      <c r="I1308" s="78"/>
      <c r="J1308" s="76"/>
      <c r="K1308" s="107"/>
      <c r="L1308" s="99"/>
      <c r="M1308" s="67"/>
    </row>
    <row r="1309" spans="2:13" x14ac:dyDescent="0.35">
      <c r="B1309" s="58"/>
      <c r="C1309" s="59"/>
      <c r="D1309" s="59"/>
      <c r="E1309" s="60"/>
      <c r="F1309" s="61"/>
      <c r="G1309"/>
      <c r="H1309"/>
      <c r="I1309" s="78"/>
      <c r="J1309" s="76"/>
      <c r="K1309" s="107"/>
      <c r="L1309" s="99"/>
      <c r="M1309" s="67"/>
    </row>
    <row r="1310" spans="2:13" x14ac:dyDescent="0.35">
      <c r="B1310" s="58"/>
      <c r="C1310" s="59"/>
      <c r="D1310" s="59"/>
      <c r="E1310" s="60"/>
      <c r="F1310" s="61"/>
      <c r="G1310"/>
      <c r="H1310"/>
      <c r="I1310" s="78"/>
      <c r="J1310" s="76"/>
      <c r="K1310" s="107"/>
      <c r="L1310" s="99"/>
      <c r="M1310" s="67"/>
    </row>
    <row r="1311" spans="2:13" x14ac:dyDescent="0.35">
      <c r="B1311" s="58"/>
      <c r="C1311" s="59"/>
      <c r="D1311" s="59"/>
      <c r="E1311" s="60"/>
      <c r="F1311" s="61"/>
      <c r="G1311"/>
      <c r="H1311"/>
      <c r="I1311" s="78"/>
      <c r="J1311" s="76"/>
      <c r="K1311" s="107"/>
      <c r="L1311" s="99"/>
      <c r="M1311" s="67"/>
    </row>
    <row r="1312" spans="2:13" x14ac:dyDescent="0.35">
      <c r="B1312" s="58"/>
      <c r="C1312" s="59"/>
      <c r="D1312" s="59"/>
      <c r="E1312" s="60"/>
      <c r="F1312" s="61"/>
      <c r="G1312"/>
      <c r="H1312"/>
      <c r="I1312" s="78"/>
      <c r="J1312" s="76"/>
      <c r="K1312" s="107"/>
      <c r="L1312" s="99"/>
      <c r="M1312" s="67"/>
    </row>
    <row r="1313" spans="1:14" x14ac:dyDescent="0.35">
      <c r="B1313" s="58"/>
      <c r="C1313" s="59"/>
      <c r="D1313" s="59"/>
      <c r="E1313" s="60"/>
      <c r="F1313" s="61"/>
      <c r="G1313"/>
      <c r="H1313"/>
      <c r="I1313" s="78"/>
      <c r="J1313" s="76"/>
      <c r="K1313" s="107"/>
      <c r="L1313" s="99"/>
      <c r="M1313" s="67"/>
    </row>
    <row r="1314" spans="1:14" x14ac:dyDescent="0.35">
      <c r="B1314" s="58"/>
      <c r="C1314" s="59"/>
      <c r="D1314" s="59"/>
      <c r="E1314" s="60"/>
      <c r="F1314" s="61"/>
      <c r="G1314"/>
      <c r="H1314"/>
      <c r="I1314" s="78"/>
      <c r="J1314" s="76"/>
      <c r="K1314" s="107"/>
      <c r="L1314" s="99"/>
      <c r="M1314" s="67"/>
    </row>
    <row r="1315" spans="1:14" x14ac:dyDescent="0.35">
      <c r="B1315" s="58"/>
      <c r="C1315" s="59"/>
      <c r="D1315" s="59"/>
      <c r="E1315" s="60"/>
      <c r="F1315" s="61"/>
      <c r="G1315"/>
      <c r="H1315"/>
      <c r="I1315" s="78"/>
      <c r="J1315" s="76"/>
      <c r="K1315" s="107"/>
      <c r="L1315" s="99"/>
      <c r="M1315" s="67"/>
    </row>
    <row r="1316" spans="1:14" x14ac:dyDescent="0.35">
      <c r="B1316" s="58"/>
      <c r="C1316" s="59"/>
      <c r="D1316" s="59"/>
      <c r="E1316" s="60"/>
      <c r="F1316" s="61"/>
      <c r="G1316"/>
      <c r="H1316"/>
      <c r="I1316" s="78"/>
      <c r="J1316" s="76"/>
      <c r="K1316" s="107"/>
      <c r="L1316" s="99"/>
      <c r="M1316" s="67"/>
    </row>
    <row r="1317" spans="1:14" x14ac:dyDescent="0.35">
      <c r="B1317" s="58"/>
      <c r="C1317" s="59"/>
      <c r="D1317" s="59"/>
      <c r="E1317" s="60"/>
      <c r="F1317" s="61"/>
      <c r="G1317"/>
      <c r="H1317"/>
      <c r="I1317" s="78"/>
      <c r="J1317" s="76"/>
      <c r="K1317" s="107"/>
      <c r="L1317" s="99"/>
      <c r="M1317" s="67"/>
    </row>
    <row r="1318" spans="1:14" x14ac:dyDescent="0.35">
      <c r="B1318" s="58"/>
      <c r="C1318" s="59"/>
      <c r="D1318" s="59"/>
      <c r="E1318" s="60"/>
      <c r="F1318" s="61"/>
      <c r="G1318"/>
      <c r="H1318"/>
      <c r="I1318" s="78"/>
      <c r="J1318" s="76"/>
      <c r="K1318" s="107"/>
      <c r="L1318" s="99"/>
      <c r="M1318" s="67"/>
    </row>
    <row r="1319" spans="1:14" s="121" customFormat="1" x14ac:dyDescent="0.35">
      <c r="A1319" s="116"/>
      <c r="B1319" s="58"/>
      <c r="C1319" s="59"/>
      <c r="D1319" s="59"/>
      <c r="E1319" s="60"/>
      <c r="F1319" s="61"/>
      <c r="G1319"/>
      <c r="H1319"/>
      <c r="I1319" s="78"/>
      <c r="J1319" s="117"/>
      <c r="K1319" s="118"/>
      <c r="L1319" s="119"/>
      <c r="M1319" s="120"/>
      <c r="N1319" s="116"/>
    </row>
    <row r="1320" spans="1:14" x14ac:dyDescent="0.35">
      <c r="B1320" s="58"/>
      <c r="C1320" s="59"/>
      <c r="D1320" s="59"/>
      <c r="E1320" s="60"/>
      <c r="F1320" s="61"/>
      <c r="G1320"/>
      <c r="H1320"/>
      <c r="I1320" s="78"/>
      <c r="J1320" s="76"/>
      <c r="K1320" s="107"/>
      <c r="L1320" s="99"/>
      <c r="M1320" s="67"/>
    </row>
    <row r="1321" spans="1:14" x14ac:dyDescent="0.35">
      <c r="B1321" s="58"/>
      <c r="C1321" s="59"/>
      <c r="D1321" s="59"/>
      <c r="E1321" s="60"/>
      <c r="F1321" s="61"/>
      <c r="G1321"/>
      <c r="H1321"/>
      <c r="I1321" s="78"/>
      <c r="J1321" s="76"/>
      <c r="K1321" s="107"/>
      <c r="L1321" s="99"/>
      <c r="M1321" s="67"/>
    </row>
    <row r="1322" spans="1:14" x14ac:dyDescent="0.35">
      <c r="B1322" s="58"/>
      <c r="C1322" s="59"/>
      <c r="D1322" s="59"/>
      <c r="E1322" s="60"/>
      <c r="F1322" s="61"/>
      <c r="G1322"/>
      <c r="H1322"/>
      <c r="I1322" s="78"/>
      <c r="J1322" s="76"/>
      <c r="K1322" s="107"/>
      <c r="L1322" s="99"/>
      <c r="M1322" s="67"/>
    </row>
    <row r="1323" spans="1:14" x14ac:dyDescent="0.35">
      <c r="B1323" s="58"/>
      <c r="C1323" s="59"/>
      <c r="D1323" s="59"/>
      <c r="E1323" s="60"/>
      <c r="F1323" s="61"/>
      <c r="G1323"/>
      <c r="H1323"/>
      <c r="I1323" s="78"/>
      <c r="J1323" s="76"/>
      <c r="K1323" s="107"/>
      <c r="L1323" s="99"/>
      <c r="M1323" s="67"/>
    </row>
    <row r="1324" spans="1:14" x14ac:dyDescent="0.35">
      <c r="B1324" s="58"/>
      <c r="C1324" s="59"/>
      <c r="D1324" s="59"/>
      <c r="E1324" s="60"/>
      <c r="F1324" s="61"/>
      <c r="G1324"/>
      <c r="H1324"/>
      <c r="I1324" s="78"/>
      <c r="J1324" s="76"/>
      <c r="K1324" s="107"/>
      <c r="L1324" s="99"/>
      <c r="M1324" s="67"/>
    </row>
    <row r="1325" spans="1:14" x14ac:dyDescent="0.35">
      <c r="B1325" s="58"/>
      <c r="C1325" s="59"/>
      <c r="D1325" s="59"/>
      <c r="E1325" s="60"/>
      <c r="F1325" s="61"/>
      <c r="G1325"/>
      <c r="H1325"/>
      <c r="I1325" s="78"/>
      <c r="J1325" s="76"/>
      <c r="K1325" s="107"/>
      <c r="L1325" s="99"/>
      <c r="M1325" s="67"/>
    </row>
    <row r="1326" spans="1:14" x14ac:dyDescent="0.35">
      <c r="B1326" s="58"/>
      <c r="C1326" s="59"/>
      <c r="D1326" s="59"/>
      <c r="E1326" s="60"/>
      <c r="F1326" s="61"/>
      <c r="G1326"/>
      <c r="H1326"/>
      <c r="I1326" s="78"/>
      <c r="J1326" s="76"/>
      <c r="K1326" s="107"/>
      <c r="L1326" s="99"/>
      <c r="M1326" s="67"/>
    </row>
    <row r="1327" spans="1:14" x14ac:dyDescent="0.35">
      <c r="B1327" s="58"/>
      <c r="C1327" s="59"/>
      <c r="D1327" s="59"/>
      <c r="E1327" s="60"/>
      <c r="F1327" s="61"/>
      <c r="G1327"/>
      <c r="H1327"/>
      <c r="I1327" s="78"/>
      <c r="J1327" s="76"/>
      <c r="K1327" s="107"/>
      <c r="L1327" s="99"/>
      <c r="M1327" s="67"/>
    </row>
    <row r="1328" spans="1:14" x14ac:dyDescent="0.35">
      <c r="B1328" s="58"/>
      <c r="C1328" s="59"/>
      <c r="D1328" s="59"/>
      <c r="E1328" s="60"/>
      <c r="F1328" s="61"/>
      <c r="G1328"/>
      <c r="H1328"/>
      <c r="I1328" s="78"/>
      <c r="J1328" s="76"/>
      <c r="K1328" s="107"/>
      <c r="L1328" s="99"/>
      <c r="M1328" s="67"/>
    </row>
    <row r="1329" spans="2:13" x14ac:dyDescent="0.35">
      <c r="B1329" s="58"/>
      <c r="C1329" s="59"/>
      <c r="D1329" s="59"/>
      <c r="E1329" s="60"/>
      <c r="F1329" s="61"/>
      <c r="G1329"/>
      <c r="H1329"/>
      <c r="I1329" s="78"/>
      <c r="J1329" s="76"/>
      <c r="K1329" s="122"/>
      <c r="L1329" s="99"/>
      <c r="M1329" s="67"/>
    </row>
    <row r="1330" spans="2:13" x14ac:dyDescent="0.35">
      <c r="B1330" s="58"/>
      <c r="C1330" s="59"/>
      <c r="D1330" s="59"/>
      <c r="E1330" s="60"/>
      <c r="F1330" s="61"/>
      <c r="G1330"/>
      <c r="H1330"/>
      <c r="I1330" s="78"/>
      <c r="J1330" s="76"/>
      <c r="K1330" s="107"/>
      <c r="L1330" s="99"/>
      <c r="M1330" s="67"/>
    </row>
    <row r="1331" spans="2:13" x14ac:dyDescent="0.35">
      <c r="B1331" s="58"/>
      <c r="C1331" s="59"/>
      <c r="D1331" s="59"/>
      <c r="E1331" s="60"/>
      <c r="F1331" s="61"/>
      <c r="G1331"/>
      <c r="H1331"/>
      <c r="I1331" s="78"/>
      <c r="J1331" s="76"/>
      <c r="K1331" s="107"/>
      <c r="L1331" s="99"/>
      <c r="M1331" s="67"/>
    </row>
    <row r="1332" spans="2:13" x14ac:dyDescent="0.35">
      <c r="B1332" s="58"/>
      <c r="C1332" s="59"/>
      <c r="D1332" s="59"/>
      <c r="E1332" s="60"/>
      <c r="F1332" s="61"/>
      <c r="G1332"/>
      <c r="H1332"/>
      <c r="I1332" s="78"/>
      <c r="J1332" s="76"/>
      <c r="K1332" s="107"/>
      <c r="L1332" s="99"/>
      <c r="M1332" s="67"/>
    </row>
    <row r="1333" spans="2:13" x14ac:dyDescent="0.35">
      <c r="B1333" s="58"/>
      <c r="C1333" s="59"/>
      <c r="D1333" s="59"/>
      <c r="E1333" s="60"/>
      <c r="F1333" s="61"/>
      <c r="G1333"/>
      <c r="H1333"/>
      <c r="I1333" s="78"/>
      <c r="J1333" s="76"/>
      <c r="K1333" s="107"/>
      <c r="L1333" s="99"/>
      <c r="M1333" s="67"/>
    </row>
    <row r="1334" spans="2:13" x14ac:dyDescent="0.35">
      <c r="B1334" s="58"/>
      <c r="C1334" s="59"/>
      <c r="D1334" s="59"/>
      <c r="E1334" s="60"/>
      <c r="F1334" s="61"/>
      <c r="G1334"/>
      <c r="H1334"/>
      <c r="I1334" s="78"/>
      <c r="J1334" s="76"/>
      <c r="K1334" s="107"/>
      <c r="L1334" s="99"/>
      <c r="M1334" s="67"/>
    </row>
    <row r="1335" spans="2:13" x14ac:dyDescent="0.35">
      <c r="B1335" s="58"/>
      <c r="C1335" s="59"/>
      <c r="D1335" s="59"/>
      <c r="E1335" s="60"/>
      <c r="F1335" s="61"/>
      <c r="G1335"/>
      <c r="H1335"/>
      <c r="I1335" s="78"/>
      <c r="J1335" s="76"/>
      <c r="K1335" s="107"/>
      <c r="L1335" s="99"/>
      <c r="M1335" s="67"/>
    </row>
    <row r="1336" spans="2:13" x14ac:dyDescent="0.35">
      <c r="B1336" s="58"/>
      <c r="C1336" s="59"/>
      <c r="D1336" s="59"/>
      <c r="E1336" s="60"/>
      <c r="F1336" s="61"/>
      <c r="G1336"/>
      <c r="H1336"/>
      <c r="I1336" s="78"/>
      <c r="J1336" s="76"/>
      <c r="K1336" s="107"/>
      <c r="L1336" s="99"/>
      <c r="M1336" s="67"/>
    </row>
    <row r="1337" spans="2:13" x14ac:dyDescent="0.35">
      <c r="B1337" s="58"/>
      <c r="C1337" s="59"/>
      <c r="D1337" s="59"/>
      <c r="E1337" s="60"/>
      <c r="F1337" s="61"/>
      <c r="G1337"/>
      <c r="H1337"/>
      <c r="I1337" s="78"/>
      <c r="J1337" s="76"/>
      <c r="K1337" s="107"/>
      <c r="L1337" s="99"/>
      <c r="M1337" s="67"/>
    </row>
    <row r="1338" spans="2:13" x14ac:dyDescent="0.35">
      <c r="B1338" s="58"/>
      <c r="C1338" s="59"/>
      <c r="D1338" s="59"/>
      <c r="E1338" s="60"/>
      <c r="F1338" s="61"/>
      <c r="G1338"/>
      <c r="H1338"/>
      <c r="I1338" s="78"/>
      <c r="J1338" s="76"/>
      <c r="K1338" s="107"/>
      <c r="L1338" s="99"/>
      <c r="M1338" s="67"/>
    </row>
    <row r="1339" spans="2:13" x14ac:dyDescent="0.35">
      <c r="B1339" s="58"/>
      <c r="C1339" s="59"/>
      <c r="D1339" s="59"/>
      <c r="E1339" s="60"/>
      <c r="F1339" s="61"/>
      <c r="G1339"/>
      <c r="H1339"/>
      <c r="I1339" s="78"/>
      <c r="J1339" s="76"/>
      <c r="K1339" s="107"/>
      <c r="L1339" s="99"/>
      <c r="M1339" s="67"/>
    </row>
    <row r="1340" spans="2:13" x14ac:dyDescent="0.35">
      <c r="B1340" s="58"/>
      <c r="C1340" s="59"/>
      <c r="D1340" s="59"/>
      <c r="E1340" s="60"/>
      <c r="F1340" s="61"/>
      <c r="G1340"/>
      <c r="H1340"/>
      <c r="I1340" s="78"/>
      <c r="J1340" s="76"/>
      <c r="K1340" s="107"/>
      <c r="L1340" s="99"/>
      <c r="M1340" s="67"/>
    </row>
    <row r="1341" spans="2:13" x14ac:dyDescent="0.35">
      <c r="B1341" s="58"/>
      <c r="C1341" s="59"/>
      <c r="D1341" s="59"/>
      <c r="E1341" s="60"/>
      <c r="F1341" s="61"/>
      <c r="G1341"/>
      <c r="H1341"/>
      <c r="I1341" s="78"/>
      <c r="J1341" s="76"/>
      <c r="K1341" s="107"/>
      <c r="L1341" s="99"/>
      <c r="M1341" s="67"/>
    </row>
    <row r="1342" spans="2:13" x14ac:dyDescent="0.35">
      <c r="B1342" s="58"/>
      <c r="C1342" s="59"/>
      <c r="D1342" s="59"/>
      <c r="E1342" s="60"/>
      <c r="F1342" s="61"/>
      <c r="G1342"/>
      <c r="H1342"/>
      <c r="I1342" s="78"/>
      <c r="J1342" s="76"/>
      <c r="K1342" s="107"/>
      <c r="L1342" s="99"/>
      <c r="M1342" s="67"/>
    </row>
    <row r="1343" spans="2:13" x14ac:dyDescent="0.35">
      <c r="B1343" s="58"/>
      <c r="C1343" s="59"/>
      <c r="D1343" s="59"/>
      <c r="E1343" s="60"/>
      <c r="F1343" s="61"/>
      <c r="G1343"/>
      <c r="H1343"/>
      <c r="I1343" s="78"/>
      <c r="J1343" s="76"/>
      <c r="K1343" s="107"/>
      <c r="L1343" s="99"/>
      <c r="M1343" s="67"/>
    </row>
    <row r="1344" spans="2:13" x14ac:dyDescent="0.35">
      <c r="B1344" s="58"/>
      <c r="C1344" s="59"/>
      <c r="D1344" s="59"/>
      <c r="E1344" s="60"/>
      <c r="F1344" s="61"/>
      <c r="G1344"/>
      <c r="H1344"/>
      <c r="I1344" s="78"/>
      <c r="J1344" s="76"/>
      <c r="K1344" s="107"/>
      <c r="L1344" s="99"/>
      <c r="M1344" s="67"/>
    </row>
    <row r="1345" spans="2:13" x14ac:dyDescent="0.35">
      <c r="B1345" s="58"/>
      <c r="C1345" s="59"/>
      <c r="D1345" s="59"/>
      <c r="E1345" s="60"/>
      <c r="F1345" s="61"/>
      <c r="G1345"/>
      <c r="H1345"/>
      <c r="I1345" s="78"/>
      <c r="J1345" s="76"/>
      <c r="K1345" s="107"/>
      <c r="L1345" s="99"/>
      <c r="M1345" s="67"/>
    </row>
    <row r="1346" spans="2:13" x14ac:dyDescent="0.35">
      <c r="B1346" s="58"/>
      <c r="C1346" s="59"/>
      <c r="D1346" s="59"/>
      <c r="E1346" s="60"/>
      <c r="F1346" s="61"/>
      <c r="G1346"/>
      <c r="H1346"/>
      <c r="I1346" s="78"/>
      <c r="J1346" s="76"/>
      <c r="K1346" s="107"/>
      <c r="L1346" s="123"/>
      <c r="M1346" s="67"/>
    </row>
    <row r="1347" spans="2:13" x14ac:dyDescent="0.35">
      <c r="B1347" s="58"/>
      <c r="C1347" s="59"/>
      <c r="D1347" s="59"/>
      <c r="E1347" s="60"/>
      <c r="F1347" s="61"/>
      <c r="G1347"/>
      <c r="H1347"/>
      <c r="I1347" s="78"/>
      <c r="J1347" s="76"/>
      <c r="K1347" s="107"/>
      <c r="L1347" s="99"/>
      <c r="M1347" s="67"/>
    </row>
    <row r="1348" spans="2:13" x14ac:dyDescent="0.35">
      <c r="B1348" s="58"/>
      <c r="C1348" s="59"/>
      <c r="D1348" s="59"/>
      <c r="E1348" s="60"/>
      <c r="F1348" s="61"/>
      <c r="G1348"/>
      <c r="H1348"/>
      <c r="I1348" s="78"/>
      <c r="J1348" s="76"/>
      <c r="K1348" s="107"/>
      <c r="L1348" s="99"/>
      <c r="M1348" s="67"/>
    </row>
    <row r="1349" spans="2:13" x14ac:dyDescent="0.35">
      <c r="B1349" s="58"/>
      <c r="C1349" s="59"/>
      <c r="D1349" s="59"/>
      <c r="E1349" s="60"/>
      <c r="F1349" s="61"/>
      <c r="G1349"/>
      <c r="H1349"/>
      <c r="I1349" s="78"/>
      <c r="J1349" s="76"/>
      <c r="K1349" s="107"/>
      <c r="L1349" s="99"/>
      <c r="M1349" s="67"/>
    </row>
    <row r="1350" spans="2:13" x14ac:dyDescent="0.35">
      <c r="B1350" s="58"/>
      <c r="C1350" s="59"/>
      <c r="D1350" s="59"/>
      <c r="E1350" s="60"/>
      <c r="F1350" s="61"/>
      <c r="G1350"/>
      <c r="H1350"/>
      <c r="I1350" s="78"/>
      <c r="J1350" s="76"/>
      <c r="K1350" s="107"/>
      <c r="L1350" s="99"/>
      <c r="M1350" s="67"/>
    </row>
    <row r="1351" spans="2:13" x14ac:dyDescent="0.35">
      <c r="B1351" s="58"/>
      <c r="C1351" s="59"/>
      <c r="D1351" s="59"/>
      <c r="E1351" s="60"/>
      <c r="F1351" s="61"/>
      <c r="G1351"/>
      <c r="H1351"/>
      <c r="I1351" s="78"/>
      <c r="J1351" s="76"/>
      <c r="K1351" s="107"/>
      <c r="L1351" s="99"/>
      <c r="M1351" s="67"/>
    </row>
    <row r="1352" spans="2:13" x14ac:dyDescent="0.35">
      <c r="B1352" s="58"/>
      <c r="C1352" s="59"/>
      <c r="D1352" s="59"/>
      <c r="E1352" s="60"/>
      <c r="F1352" s="61"/>
      <c r="G1352"/>
      <c r="H1352"/>
      <c r="I1352" s="78"/>
      <c r="J1352" s="76"/>
      <c r="K1352" s="107"/>
      <c r="L1352" s="99"/>
      <c r="M1352" s="67"/>
    </row>
    <row r="1353" spans="2:13" x14ac:dyDescent="0.35">
      <c r="B1353" s="58"/>
      <c r="C1353" s="59"/>
      <c r="D1353" s="59"/>
      <c r="E1353" s="60"/>
      <c r="F1353" s="61"/>
      <c r="G1353"/>
      <c r="H1353"/>
      <c r="I1353" s="78"/>
      <c r="J1353" s="76"/>
      <c r="K1353" s="107"/>
      <c r="L1353" s="99"/>
      <c r="M1353" s="67"/>
    </row>
    <row r="1354" spans="2:13" x14ac:dyDescent="0.35">
      <c r="B1354" s="58"/>
      <c r="C1354" s="59"/>
      <c r="D1354" s="59"/>
      <c r="E1354" s="60"/>
      <c r="F1354" s="61"/>
      <c r="G1354"/>
      <c r="H1354"/>
      <c r="I1354" s="78"/>
      <c r="J1354" s="76"/>
      <c r="K1354" s="107"/>
      <c r="L1354" s="99"/>
      <c r="M1354" s="67"/>
    </row>
    <row r="1355" spans="2:13" x14ac:dyDescent="0.35">
      <c r="B1355" s="58"/>
      <c r="C1355" s="59"/>
      <c r="D1355" s="59"/>
      <c r="E1355" s="60"/>
      <c r="F1355" s="61"/>
      <c r="G1355"/>
      <c r="H1355"/>
      <c r="I1355" s="78"/>
      <c r="J1355" s="76"/>
      <c r="K1355" s="107"/>
      <c r="L1355" s="99"/>
      <c r="M1355" s="67"/>
    </row>
    <row r="1356" spans="2:13" x14ac:dyDescent="0.35">
      <c r="B1356" s="58"/>
      <c r="C1356" s="59"/>
      <c r="D1356" s="59"/>
      <c r="E1356" s="60"/>
      <c r="F1356" s="61"/>
      <c r="G1356"/>
      <c r="H1356"/>
      <c r="I1356" s="78"/>
      <c r="J1356" s="76"/>
      <c r="K1356" s="107"/>
      <c r="L1356" s="99"/>
      <c r="M1356" s="67"/>
    </row>
    <row r="1357" spans="2:13" x14ac:dyDescent="0.35">
      <c r="B1357" s="58"/>
      <c r="C1357" s="59"/>
      <c r="D1357" s="59"/>
      <c r="E1357" s="60"/>
      <c r="F1357" s="61"/>
      <c r="G1357"/>
      <c r="H1357"/>
      <c r="I1357" s="78"/>
      <c r="J1357" s="76"/>
      <c r="K1357" s="107"/>
      <c r="L1357" s="99"/>
      <c r="M1357" s="67"/>
    </row>
    <row r="1358" spans="2:13" x14ac:dyDescent="0.35">
      <c r="B1358" s="58"/>
      <c r="C1358" s="59"/>
      <c r="D1358" s="59"/>
      <c r="E1358" s="60"/>
      <c r="F1358" s="61"/>
      <c r="G1358"/>
      <c r="H1358"/>
      <c r="I1358" s="78"/>
      <c r="J1358" s="76"/>
      <c r="K1358" s="107"/>
      <c r="L1358" s="99"/>
      <c r="M1358" s="67"/>
    </row>
    <row r="1359" spans="2:13" x14ac:dyDescent="0.35">
      <c r="B1359" s="58"/>
      <c r="C1359" s="59"/>
      <c r="D1359" s="59"/>
      <c r="E1359" s="60"/>
      <c r="F1359" s="61"/>
      <c r="G1359"/>
      <c r="H1359"/>
      <c r="I1359" s="78"/>
      <c r="J1359" s="76"/>
      <c r="K1359" s="107"/>
      <c r="L1359" s="99"/>
      <c r="M1359" s="67"/>
    </row>
    <row r="1360" spans="2:13" x14ac:dyDescent="0.35">
      <c r="B1360" s="58"/>
      <c r="C1360" s="59"/>
      <c r="D1360" s="59"/>
      <c r="E1360" s="60"/>
      <c r="F1360" s="61"/>
      <c r="G1360"/>
      <c r="H1360"/>
      <c r="I1360" s="78"/>
      <c r="J1360" s="76"/>
      <c r="K1360" s="107"/>
      <c r="L1360" s="99"/>
      <c r="M1360" s="67"/>
    </row>
    <row r="1361" spans="2:13" x14ac:dyDescent="0.35">
      <c r="B1361" s="58"/>
      <c r="C1361" s="59"/>
      <c r="D1361" s="59"/>
      <c r="E1361" s="60"/>
      <c r="F1361" s="61"/>
      <c r="G1361"/>
      <c r="H1361"/>
      <c r="I1361" s="78"/>
      <c r="J1361" s="76"/>
      <c r="K1361" s="107"/>
      <c r="L1361" s="99"/>
      <c r="M1361" s="67"/>
    </row>
    <row r="1362" spans="2:13" x14ac:dyDescent="0.35">
      <c r="B1362" s="58"/>
      <c r="C1362" s="59"/>
      <c r="D1362" s="59"/>
      <c r="E1362" s="60"/>
      <c r="F1362" s="61"/>
      <c r="G1362"/>
      <c r="H1362"/>
      <c r="I1362" s="78"/>
      <c r="J1362" s="76"/>
      <c r="K1362" s="107"/>
      <c r="L1362" s="99"/>
      <c r="M1362" s="67"/>
    </row>
    <row r="1363" spans="2:13" x14ac:dyDescent="0.35">
      <c r="B1363" s="58"/>
      <c r="C1363" s="59"/>
      <c r="D1363" s="59"/>
      <c r="E1363" s="60"/>
      <c r="F1363" s="61"/>
      <c r="G1363"/>
      <c r="H1363"/>
      <c r="I1363" s="78"/>
      <c r="J1363" s="76"/>
      <c r="K1363" s="107"/>
      <c r="L1363" s="99"/>
      <c r="M1363" s="67"/>
    </row>
    <row r="1364" spans="2:13" x14ac:dyDescent="0.35">
      <c r="B1364" s="58"/>
      <c r="C1364" s="59"/>
      <c r="D1364" s="59"/>
      <c r="E1364" s="60"/>
      <c r="F1364" s="61"/>
      <c r="G1364"/>
      <c r="H1364"/>
      <c r="I1364" s="78"/>
      <c r="J1364" s="76"/>
      <c r="K1364" s="107"/>
      <c r="L1364" s="99"/>
      <c r="M1364" s="67"/>
    </row>
    <row r="1365" spans="2:13" x14ac:dyDescent="0.35">
      <c r="B1365" s="58"/>
      <c r="C1365" s="59"/>
      <c r="D1365" s="59"/>
      <c r="E1365" s="60"/>
      <c r="F1365" s="61"/>
      <c r="G1365"/>
      <c r="H1365"/>
      <c r="I1365" s="78"/>
      <c r="J1365" s="76"/>
      <c r="K1365" s="107"/>
      <c r="L1365" s="99"/>
      <c r="M1365" s="67"/>
    </row>
    <row r="1366" spans="2:13" x14ac:dyDescent="0.35">
      <c r="B1366" s="58"/>
      <c r="C1366" s="59"/>
      <c r="D1366" s="59"/>
      <c r="E1366" s="60"/>
      <c r="F1366" s="61"/>
      <c r="G1366"/>
      <c r="H1366"/>
      <c r="I1366" s="78"/>
      <c r="J1366" s="76"/>
      <c r="K1366" s="107"/>
      <c r="L1366" s="99"/>
      <c r="M1366" s="67"/>
    </row>
    <row r="1367" spans="2:13" x14ac:dyDescent="0.35">
      <c r="B1367" s="58"/>
      <c r="C1367" s="59"/>
      <c r="D1367" s="59"/>
      <c r="E1367" s="60"/>
      <c r="F1367" s="61"/>
      <c r="G1367"/>
      <c r="H1367"/>
      <c r="I1367" s="78"/>
      <c r="J1367" s="76"/>
      <c r="K1367" s="107"/>
      <c r="L1367" s="99"/>
      <c r="M1367" s="67"/>
    </row>
    <row r="1368" spans="2:13" x14ac:dyDescent="0.35">
      <c r="B1368" s="58"/>
      <c r="C1368" s="59"/>
      <c r="D1368" s="59"/>
      <c r="E1368" s="60"/>
      <c r="F1368" s="61"/>
      <c r="G1368"/>
      <c r="H1368"/>
      <c r="I1368" s="78"/>
      <c r="J1368" s="76"/>
      <c r="K1368" s="107"/>
      <c r="L1368" s="99"/>
      <c r="M1368" s="67"/>
    </row>
    <row r="1369" spans="2:13" x14ac:dyDescent="0.35">
      <c r="B1369" s="58"/>
      <c r="C1369" s="59"/>
      <c r="D1369" s="59"/>
      <c r="E1369" s="60"/>
      <c r="F1369" s="61"/>
      <c r="G1369"/>
      <c r="H1369"/>
      <c r="I1369" s="78"/>
      <c r="J1369" s="76"/>
      <c r="K1369" s="107"/>
      <c r="L1369" s="99"/>
      <c r="M1369" s="67"/>
    </row>
    <row r="1370" spans="2:13" x14ac:dyDescent="0.35">
      <c r="B1370" s="58"/>
      <c r="C1370" s="59"/>
      <c r="D1370" s="59"/>
      <c r="E1370" s="60"/>
      <c r="F1370" s="61"/>
      <c r="G1370"/>
      <c r="H1370"/>
      <c r="I1370" s="78"/>
      <c r="J1370" s="76"/>
      <c r="K1370" s="107"/>
      <c r="L1370" s="99"/>
      <c r="M1370" s="67"/>
    </row>
    <row r="1371" spans="2:13" x14ac:dyDescent="0.35">
      <c r="B1371" s="58"/>
      <c r="C1371" s="59"/>
      <c r="D1371" s="59"/>
      <c r="E1371" s="60"/>
      <c r="F1371" s="61"/>
      <c r="G1371"/>
      <c r="H1371"/>
      <c r="I1371" s="78"/>
      <c r="J1371" s="76"/>
      <c r="K1371" s="107"/>
      <c r="L1371" s="99"/>
      <c r="M1371" s="67"/>
    </row>
    <row r="1372" spans="2:13" x14ac:dyDescent="0.35">
      <c r="B1372" s="58"/>
      <c r="C1372" s="59"/>
      <c r="D1372" s="59"/>
      <c r="E1372" s="60"/>
      <c r="F1372" s="61"/>
      <c r="G1372"/>
      <c r="H1372"/>
      <c r="I1372" s="78"/>
      <c r="J1372" s="76"/>
      <c r="K1372" s="107"/>
      <c r="L1372" s="99"/>
      <c r="M1372" s="67"/>
    </row>
    <row r="1373" spans="2:13" x14ac:dyDescent="0.35">
      <c r="B1373" s="58"/>
      <c r="C1373" s="59"/>
      <c r="D1373" s="59"/>
      <c r="E1373" s="60"/>
      <c r="F1373" s="61"/>
      <c r="G1373"/>
      <c r="H1373"/>
      <c r="I1373" s="78"/>
      <c r="J1373" s="76"/>
      <c r="K1373" s="107"/>
      <c r="L1373" s="99"/>
      <c r="M1373" s="67"/>
    </row>
    <row r="1374" spans="2:13" x14ac:dyDescent="0.35">
      <c r="B1374" s="58"/>
      <c r="C1374" s="59"/>
      <c r="D1374" s="59"/>
      <c r="E1374" s="60"/>
      <c r="F1374" s="61"/>
      <c r="G1374"/>
      <c r="H1374"/>
      <c r="I1374" s="78"/>
      <c r="J1374" s="76"/>
      <c r="K1374" s="107"/>
      <c r="L1374" s="99"/>
      <c r="M1374" s="67"/>
    </row>
    <row r="1375" spans="2:13" x14ac:dyDescent="0.35">
      <c r="B1375" s="58"/>
      <c r="C1375" s="59"/>
      <c r="D1375" s="59"/>
      <c r="E1375" s="60"/>
      <c r="F1375" s="61"/>
      <c r="G1375"/>
      <c r="H1375"/>
      <c r="I1375" s="78"/>
      <c r="J1375" s="76"/>
      <c r="K1375" s="107"/>
      <c r="L1375" s="99"/>
      <c r="M1375" s="67"/>
    </row>
    <row r="1376" spans="2:13" x14ac:dyDescent="0.35">
      <c r="B1376" s="58"/>
      <c r="C1376" s="59"/>
      <c r="D1376" s="59"/>
      <c r="E1376" s="60"/>
      <c r="F1376" s="61"/>
      <c r="G1376"/>
      <c r="H1376"/>
      <c r="I1376" s="78"/>
      <c r="J1376" s="76"/>
      <c r="K1376" s="107"/>
      <c r="L1376" s="99"/>
      <c r="M1376" s="67"/>
    </row>
    <row r="1377" spans="2:13" x14ac:dyDescent="0.35">
      <c r="B1377" s="58"/>
      <c r="C1377" s="59"/>
      <c r="D1377" s="59"/>
      <c r="E1377" s="60"/>
      <c r="F1377" s="61"/>
      <c r="G1377"/>
      <c r="H1377"/>
      <c r="I1377" s="78"/>
      <c r="J1377" s="76"/>
      <c r="K1377" s="107"/>
      <c r="L1377" s="99"/>
      <c r="M1377" s="67"/>
    </row>
    <row r="1378" spans="2:13" x14ac:dyDescent="0.35">
      <c r="B1378" s="58"/>
      <c r="C1378" s="59"/>
      <c r="D1378" s="59"/>
      <c r="E1378" s="60"/>
      <c r="F1378" s="61"/>
      <c r="G1378"/>
      <c r="H1378"/>
      <c r="I1378" s="78"/>
      <c r="J1378" s="76"/>
      <c r="K1378" s="107"/>
      <c r="L1378" s="99"/>
      <c r="M1378" s="67"/>
    </row>
    <row r="1379" spans="2:13" x14ac:dyDescent="0.35">
      <c r="B1379" s="58"/>
      <c r="C1379" s="59"/>
      <c r="D1379" s="59"/>
      <c r="E1379" s="60"/>
      <c r="F1379" s="61"/>
      <c r="G1379"/>
      <c r="H1379"/>
      <c r="I1379" s="78"/>
      <c r="J1379" s="76"/>
      <c r="K1379" s="107"/>
      <c r="L1379" s="99"/>
      <c r="M1379" s="67"/>
    </row>
    <row r="1380" spans="2:13" x14ac:dyDescent="0.35">
      <c r="B1380" s="58"/>
      <c r="C1380" s="59"/>
      <c r="D1380" s="59"/>
      <c r="E1380" s="60"/>
      <c r="F1380" s="61"/>
      <c r="G1380"/>
      <c r="H1380"/>
      <c r="I1380" s="78"/>
      <c r="J1380" s="76"/>
      <c r="K1380" s="107"/>
      <c r="L1380" s="99"/>
      <c r="M1380" s="67"/>
    </row>
    <row r="1381" spans="2:13" x14ac:dyDescent="0.35">
      <c r="B1381" s="58"/>
      <c r="C1381" s="59"/>
      <c r="D1381" s="59"/>
      <c r="E1381" s="60"/>
      <c r="F1381" s="61"/>
      <c r="G1381"/>
      <c r="H1381"/>
      <c r="I1381" s="78"/>
      <c r="J1381" s="76"/>
      <c r="K1381" s="107"/>
      <c r="L1381" s="99"/>
      <c r="M1381" s="67"/>
    </row>
    <row r="1382" spans="2:13" x14ac:dyDescent="0.35">
      <c r="B1382" s="58"/>
      <c r="C1382" s="59"/>
      <c r="D1382" s="59"/>
      <c r="E1382" s="60"/>
      <c r="F1382" s="61"/>
      <c r="G1382"/>
      <c r="H1382"/>
      <c r="I1382" s="78"/>
      <c r="J1382" s="76"/>
      <c r="K1382" s="107"/>
      <c r="L1382" s="99"/>
      <c r="M1382" s="67"/>
    </row>
    <row r="1383" spans="2:13" x14ac:dyDescent="0.35">
      <c r="B1383" s="58"/>
      <c r="C1383" s="59"/>
      <c r="D1383" s="59"/>
      <c r="E1383" s="60"/>
      <c r="F1383" s="61"/>
      <c r="G1383"/>
      <c r="H1383"/>
      <c r="I1383" s="78"/>
      <c r="J1383" s="76"/>
      <c r="K1383" s="107"/>
      <c r="L1383" s="99"/>
      <c r="M1383" s="67"/>
    </row>
    <row r="1384" spans="2:13" x14ac:dyDescent="0.35">
      <c r="B1384" s="58"/>
      <c r="C1384" s="59"/>
      <c r="D1384" s="59"/>
      <c r="E1384" s="60"/>
      <c r="F1384" s="61"/>
      <c r="G1384"/>
      <c r="H1384"/>
      <c r="I1384" s="78"/>
      <c r="J1384" s="76"/>
      <c r="K1384" s="107"/>
      <c r="L1384" s="99"/>
      <c r="M1384" s="67"/>
    </row>
    <row r="1385" spans="2:13" x14ac:dyDescent="0.35">
      <c r="B1385" s="58"/>
      <c r="C1385" s="59"/>
      <c r="D1385" s="59"/>
      <c r="E1385" s="60"/>
      <c r="F1385" s="61"/>
      <c r="G1385"/>
      <c r="H1385"/>
      <c r="I1385" s="78"/>
      <c r="J1385" s="76"/>
      <c r="K1385" s="107"/>
      <c r="L1385" s="99"/>
      <c r="M1385" s="67"/>
    </row>
    <row r="1386" spans="2:13" x14ac:dyDescent="0.35">
      <c r="B1386" s="58"/>
      <c r="C1386" s="59"/>
      <c r="D1386" s="59"/>
      <c r="E1386" s="60"/>
      <c r="F1386" s="61"/>
      <c r="G1386"/>
      <c r="H1386"/>
      <c r="I1386" s="78"/>
      <c r="J1386" s="76"/>
      <c r="K1386" s="107"/>
      <c r="L1386" s="99"/>
      <c r="M1386" s="67"/>
    </row>
    <row r="1387" spans="2:13" x14ac:dyDescent="0.35">
      <c r="B1387" s="58"/>
      <c r="C1387" s="59"/>
      <c r="D1387" s="59"/>
      <c r="E1387" s="60"/>
      <c r="F1387" s="61"/>
      <c r="G1387"/>
      <c r="H1387"/>
      <c r="I1387" s="78"/>
      <c r="J1387" s="76"/>
      <c r="K1387" s="107"/>
      <c r="L1387" s="99"/>
      <c r="M1387" s="67"/>
    </row>
    <row r="1388" spans="2:13" x14ac:dyDescent="0.35">
      <c r="B1388" s="58"/>
      <c r="C1388" s="59"/>
      <c r="D1388" s="59"/>
      <c r="E1388" s="60"/>
      <c r="F1388" s="61"/>
      <c r="G1388"/>
      <c r="H1388"/>
      <c r="I1388" s="78"/>
      <c r="J1388" s="76"/>
      <c r="K1388" s="107"/>
      <c r="L1388" s="99"/>
      <c r="M1388" s="67"/>
    </row>
    <row r="1389" spans="2:13" x14ac:dyDescent="0.35">
      <c r="B1389" s="58"/>
      <c r="C1389" s="59"/>
      <c r="D1389" s="59"/>
      <c r="E1389" s="60"/>
      <c r="F1389" s="61"/>
      <c r="G1389"/>
      <c r="H1389"/>
      <c r="I1389" s="78"/>
      <c r="J1389" s="76"/>
      <c r="K1389" s="107"/>
      <c r="L1389" s="99"/>
      <c r="M1389" s="67"/>
    </row>
    <row r="1390" spans="2:13" x14ac:dyDescent="0.35">
      <c r="B1390" s="58"/>
      <c r="C1390" s="59"/>
      <c r="D1390" s="59"/>
      <c r="E1390" s="60"/>
      <c r="F1390" s="61"/>
      <c r="G1390"/>
      <c r="H1390"/>
      <c r="I1390" s="78"/>
      <c r="J1390" s="76"/>
      <c r="K1390" s="107"/>
      <c r="L1390" s="99"/>
      <c r="M1390" s="67"/>
    </row>
    <row r="1391" spans="2:13" x14ac:dyDescent="0.35">
      <c r="B1391" s="58"/>
      <c r="C1391" s="59"/>
      <c r="D1391" s="59"/>
      <c r="E1391" s="60"/>
      <c r="F1391" s="61"/>
      <c r="G1391"/>
      <c r="H1391"/>
      <c r="I1391" s="78"/>
      <c r="J1391" s="76"/>
      <c r="K1391" s="107"/>
      <c r="L1391" s="99"/>
      <c r="M1391" s="67"/>
    </row>
    <row r="1392" spans="2:13" x14ac:dyDescent="0.35">
      <c r="B1392" s="58"/>
      <c r="C1392" s="59"/>
      <c r="D1392" s="59"/>
      <c r="E1392" s="60"/>
      <c r="F1392" s="61"/>
      <c r="G1392"/>
      <c r="H1392"/>
      <c r="I1392" s="78"/>
      <c r="J1392" s="76"/>
      <c r="K1392" s="107"/>
      <c r="L1392" s="99"/>
      <c r="M1392" s="67"/>
    </row>
    <row r="1393" spans="2:13" x14ac:dyDescent="0.35">
      <c r="B1393" s="58"/>
      <c r="C1393" s="59"/>
      <c r="D1393" s="59"/>
      <c r="E1393" s="60"/>
      <c r="F1393" s="61"/>
      <c r="G1393"/>
      <c r="H1393"/>
      <c r="I1393" s="78"/>
      <c r="J1393" s="76"/>
      <c r="K1393" s="107"/>
      <c r="L1393" s="99"/>
      <c r="M1393" s="67"/>
    </row>
    <row r="1394" spans="2:13" x14ac:dyDescent="0.35">
      <c r="B1394" s="58"/>
      <c r="C1394" s="59"/>
      <c r="D1394" s="59"/>
      <c r="E1394" s="60"/>
      <c r="F1394" s="61"/>
      <c r="G1394"/>
      <c r="H1394"/>
      <c r="I1394" s="78"/>
      <c r="J1394" s="76"/>
      <c r="K1394" s="107"/>
      <c r="L1394" s="99"/>
      <c r="M1394" s="67"/>
    </row>
    <row r="1395" spans="2:13" x14ac:dyDescent="0.35">
      <c r="B1395" s="58"/>
      <c r="C1395" s="59"/>
      <c r="D1395" s="59"/>
      <c r="E1395" s="60"/>
      <c r="F1395" s="61"/>
      <c r="G1395"/>
      <c r="H1395"/>
      <c r="I1395" s="78"/>
      <c r="J1395" s="76"/>
      <c r="K1395" s="107"/>
      <c r="L1395" s="99"/>
      <c r="M1395" s="67"/>
    </row>
    <row r="1396" spans="2:13" x14ac:dyDescent="0.35">
      <c r="B1396" s="58"/>
      <c r="C1396" s="59"/>
      <c r="D1396" s="59"/>
      <c r="E1396" s="60"/>
      <c r="F1396" s="61"/>
      <c r="G1396"/>
      <c r="H1396"/>
      <c r="I1396" s="78"/>
      <c r="J1396" s="76"/>
      <c r="K1396" s="107"/>
      <c r="L1396" s="99"/>
      <c r="M1396" s="67"/>
    </row>
    <row r="1397" spans="2:13" x14ac:dyDescent="0.35">
      <c r="B1397" s="58"/>
      <c r="C1397" s="59"/>
      <c r="D1397" s="59"/>
      <c r="E1397" s="60"/>
      <c r="F1397" s="61"/>
      <c r="G1397"/>
      <c r="H1397"/>
      <c r="I1397" s="78"/>
      <c r="J1397" s="76"/>
      <c r="K1397" s="107"/>
      <c r="L1397" s="99"/>
      <c r="M1397" s="67"/>
    </row>
    <row r="1398" spans="2:13" x14ac:dyDescent="0.35">
      <c r="B1398" s="58"/>
      <c r="C1398" s="59"/>
      <c r="D1398" s="59"/>
      <c r="E1398" s="60"/>
      <c r="F1398" s="61"/>
      <c r="G1398"/>
      <c r="H1398"/>
      <c r="I1398" s="78"/>
      <c r="J1398" s="76"/>
      <c r="K1398" s="107"/>
      <c r="L1398" s="99"/>
      <c r="M1398" s="67"/>
    </row>
    <row r="1399" spans="2:13" x14ac:dyDescent="0.35">
      <c r="B1399" s="58"/>
      <c r="C1399" s="59"/>
      <c r="D1399" s="59"/>
      <c r="E1399" s="60"/>
      <c r="F1399" s="61"/>
      <c r="G1399"/>
      <c r="H1399"/>
      <c r="I1399" s="78"/>
      <c r="J1399" s="76"/>
      <c r="K1399" s="107"/>
      <c r="L1399" s="99"/>
      <c r="M1399" s="67"/>
    </row>
    <row r="1400" spans="2:13" x14ac:dyDescent="0.35">
      <c r="B1400" s="58"/>
      <c r="C1400" s="59"/>
      <c r="D1400" s="59"/>
      <c r="E1400" s="60"/>
      <c r="F1400" s="61"/>
      <c r="G1400"/>
      <c r="H1400"/>
      <c r="I1400" s="78"/>
      <c r="J1400" s="76"/>
      <c r="K1400" s="107"/>
      <c r="L1400" s="99"/>
      <c r="M1400" s="67"/>
    </row>
    <row r="1401" spans="2:13" x14ac:dyDescent="0.35">
      <c r="B1401" s="58"/>
      <c r="C1401" s="59"/>
      <c r="D1401" s="59"/>
      <c r="E1401" s="60"/>
      <c r="F1401" s="61"/>
      <c r="G1401"/>
      <c r="H1401"/>
      <c r="I1401" s="78"/>
      <c r="J1401" s="76"/>
      <c r="K1401" s="107"/>
      <c r="L1401" s="99"/>
      <c r="M1401" s="67"/>
    </row>
    <row r="1402" spans="2:13" x14ac:dyDescent="0.35">
      <c r="B1402" s="58"/>
      <c r="C1402" s="59"/>
      <c r="D1402" s="59"/>
      <c r="E1402" s="60"/>
      <c r="F1402" s="61"/>
      <c r="G1402"/>
      <c r="H1402"/>
      <c r="I1402" s="78"/>
      <c r="J1402" s="76"/>
      <c r="K1402" s="107"/>
      <c r="L1402" s="99"/>
      <c r="M1402" s="67"/>
    </row>
    <row r="1403" spans="2:13" x14ac:dyDescent="0.35">
      <c r="B1403" s="58"/>
      <c r="C1403" s="59"/>
      <c r="D1403" s="59"/>
      <c r="E1403" s="60"/>
      <c r="F1403" s="61"/>
      <c r="G1403"/>
      <c r="H1403"/>
      <c r="I1403" s="78"/>
      <c r="J1403" s="76"/>
      <c r="K1403" s="107"/>
      <c r="L1403" s="99"/>
      <c r="M1403" s="67"/>
    </row>
    <row r="1404" spans="2:13" x14ac:dyDescent="0.35">
      <c r="B1404" s="58"/>
      <c r="C1404" s="59"/>
      <c r="D1404" s="59"/>
      <c r="E1404" s="60"/>
      <c r="F1404" s="61"/>
      <c r="G1404"/>
      <c r="H1404"/>
      <c r="I1404" s="78"/>
      <c r="J1404" s="76"/>
      <c r="K1404" s="107"/>
      <c r="L1404" s="99"/>
      <c r="M1404" s="67"/>
    </row>
    <row r="1405" spans="2:13" x14ac:dyDescent="0.35">
      <c r="B1405" s="58"/>
      <c r="C1405" s="59"/>
      <c r="D1405" s="59"/>
      <c r="E1405" s="60"/>
      <c r="F1405" s="61"/>
      <c r="G1405"/>
      <c r="H1405"/>
      <c r="I1405" s="78"/>
      <c r="J1405" s="76"/>
      <c r="K1405" s="107"/>
      <c r="L1405" s="99"/>
      <c r="M1405" s="67"/>
    </row>
    <row r="1406" spans="2:13" x14ac:dyDescent="0.35">
      <c r="B1406" s="58"/>
      <c r="C1406" s="59"/>
      <c r="D1406" s="59"/>
      <c r="E1406" s="60"/>
      <c r="F1406" s="61"/>
      <c r="G1406"/>
      <c r="H1406"/>
      <c r="I1406" s="78"/>
      <c r="J1406" s="76"/>
      <c r="K1406" s="107"/>
      <c r="L1406" s="99"/>
      <c r="M1406" s="67"/>
    </row>
    <row r="1407" spans="2:13" x14ac:dyDescent="0.35">
      <c r="B1407" s="58"/>
      <c r="C1407" s="59"/>
      <c r="D1407" s="59"/>
      <c r="E1407" s="60"/>
      <c r="F1407" s="61"/>
      <c r="G1407"/>
      <c r="H1407"/>
      <c r="I1407" s="78"/>
      <c r="J1407" s="76"/>
      <c r="K1407" s="107"/>
      <c r="L1407" s="99"/>
      <c r="M1407" s="67"/>
    </row>
    <row r="1408" spans="2:13" x14ac:dyDescent="0.35">
      <c r="B1408" s="58"/>
      <c r="C1408" s="59"/>
      <c r="D1408" s="59"/>
      <c r="E1408" s="60"/>
      <c r="F1408" s="61"/>
      <c r="G1408"/>
      <c r="H1408"/>
      <c r="I1408" s="78"/>
      <c r="J1408" s="76"/>
      <c r="K1408" s="107"/>
      <c r="L1408" s="99"/>
      <c r="M1408" s="67"/>
    </row>
    <row r="1409" spans="2:13" x14ac:dyDescent="0.35">
      <c r="B1409" s="58"/>
      <c r="C1409" s="59"/>
      <c r="D1409" s="59"/>
      <c r="E1409" s="60"/>
      <c r="F1409" s="61"/>
      <c r="G1409"/>
      <c r="H1409"/>
      <c r="I1409" s="78"/>
      <c r="J1409" s="76"/>
      <c r="K1409" s="107"/>
      <c r="L1409" s="99"/>
      <c r="M1409" s="67"/>
    </row>
    <row r="1410" spans="2:13" x14ac:dyDescent="0.35">
      <c r="B1410" s="58"/>
      <c r="C1410" s="59"/>
      <c r="D1410" s="59"/>
      <c r="E1410" s="60"/>
      <c r="F1410" s="61"/>
      <c r="G1410"/>
      <c r="H1410"/>
      <c r="I1410" s="78"/>
      <c r="J1410" s="76"/>
      <c r="K1410" s="107"/>
      <c r="L1410" s="99"/>
      <c r="M1410" s="67"/>
    </row>
    <row r="1411" spans="2:13" x14ac:dyDescent="0.35">
      <c r="B1411" s="58"/>
      <c r="C1411" s="59"/>
      <c r="D1411" s="59"/>
      <c r="E1411" s="60"/>
      <c r="F1411" s="61"/>
      <c r="G1411"/>
      <c r="H1411"/>
      <c r="I1411" s="78"/>
      <c r="J1411" s="76"/>
      <c r="K1411" s="107"/>
      <c r="L1411" s="99"/>
      <c r="M1411" s="67"/>
    </row>
    <row r="1412" spans="2:13" x14ac:dyDescent="0.35">
      <c r="B1412" s="58"/>
      <c r="C1412" s="59"/>
      <c r="D1412" s="59"/>
      <c r="E1412" s="60"/>
      <c r="F1412" s="61"/>
      <c r="G1412"/>
      <c r="H1412"/>
      <c r="I1412" s="78"/>
      <c r="J1412" s="76"/>
      <c r="K1412" s="107"/>
      <c r="L1412" s="99"/>
      <c r="M1412" s="67"/>
    </row>
    <row r="1413" spans="2:13" x14ac:dyDescent="0.35">
      <c r="B1413" s="58"/>
      <c r="C1413" s="59"/>
      <c r="D1413" s="59"/>
      <c r="E1413" s="60"/>
      <c r="F1413" s="61"/>
      <c r="G1413"/>
      <c r="H1413"/>
      <c r="I1413" s="78"/>
      <c r="J1413" s="76"/>
      <c r="K1413" s="107"/>
      <c r="L1413" s="99"/>
      <c r="M1413" s="67"/>
    </row>
    <row r="1414" spans="2:13" x14ac:dyDescent="0.35">
      <c r="B1414" s="58"/>
      <c r="C1414" s="59"/>
      <c r="D1414" s="59"/>
      <c r="E1414" s="60"/>
      <c r="F1414" s="61"/>
      <c r="G1414"/>
      <c r="H1414"/>
      <c r="I1414" s="78"/>
      <c r="J1414" s="76"/>
      <c r="K1414" s="107"/>
      <c r="L1414" s="99"/>
      <c r="M1414" s="67"/>
    </row>
    <row r="1415" spans="2:13" x14ac:dyDescent="0.35">
      <c r="B1415" s="58"/>
      <c r="C1415" s="59"/>
      <c r="D1415" s="59"/>
      <c r="E1415" s="60"/>
      <c r="F1415" s="61"/>
      <c r="G1415"/>
      <c r="H1415"/>
      <c r="I1415" s="78"/>
      <c r="J1415" s="76"/>
      <c r="K1415" s="107"/>
      <c r="L1415" s="99"/>
      <c r="M1415" s="67"/>
    </row>
    <row r="1416" spans="2:13" x14ac:dyDescent="0.35">
      <c r="B1416" s="58"/>
      <c r="C1416" s="59"/>
      <c r="D1416" s="59"/>
      <c r="E1416" s="60"/>
      <c r="F1416" s="61"/>
      <c r="G1416"/>
      <c r="H1416"/>
      <c r="I1416" s="78"/>
      <c r="J1416" s="76"/>
      <c r="K1416" s="107"/>
      <c r="L1416" s="99"/>
      <c r="M1416" s="67"/>
    </row>
    <row r="1417" spans="2:13" x14ac:dyDescent="0.35">
      <c r="B1417" s="58"/>
      <c r="C1417" s="59"/>
      <c r="D1417" s="59"/>
      <c r="E1417" s="60"/>
      <c r="F1417" s="61"/>
      <c r="G1417"/>
      <c r="H1417"/>
      <c r="I1417" s="78"/>
      <c r="J1417" s="76"/>
      <c r="K1417" s="107"/>
      <c r="L1417" s="99"/>
      <c r="M1417" s="67"/>
    </row>
    <row r="1418" spans="2:13" x14ac:dyDescent="0.35">
      <c r="B1418" s="58"/>
      <c r="C1418" s="59"/>
      <c r="D1418" s="59"/>
      <c r="E1418" s="60"/>
      <c r="F1418" s="61"/>
      <c r="G1418"/>
      <c r="H1418"/>
      <c r="I1418" s="78"/>
      <c r="J1418" s="76"/>
      <c r="K1418" s="107"/>
      <c r="L1418" s="99"/>
      <c r="M1418" s="67"/>
    </row>
    <row r="1419" spans="2:13" x14ac:dyDescent="0.35">
      <c r="B1419" s="58"/>
      <c r="C1419" s="59"/>
      <c r="D1419" s="59"/>
      <c r="E1419" s="60"/>
      <c r="F1419" s="61"/>
      <c r="G1419"/>
      <c r="H1419"/>
      <c r="I1419" s="78"/>
      <c r="J1419" s="76"/>
      <c r="K1419" s="107"/>
      <c r="L1419" s="99"/>
      <c r="M1419" s="67"/>
    </row>
    <row r="1420" spans="2:13" x14ac:dyDescent="0.35">
      <c r="B1420" s="58"/>
      <c r="C1420" s="59"/>
      <c r="D1420" s="59"/>
      <c r="E1420" s="60"/>
      <c r="F1420" s="61"/>
      <c r="G1420"/>
      <c r="H1420"/>
      <c r="I1420" s="78"/>
      <c r="J1420" s="76"/>
      <c r="K1420" s="107"/>
      <c r="L1420" s="99"/>
      <c r="M1420" s="67"/>
    </row>
    <row r="1421" spans="2:13" x14ac:dyDescent="0.35">
      <c r="B1421" s="58"/>
      <c r="C1421" s="59"/>
      <c r="D1421" s="59"/>
      <c r="E1421" s="60"/>
      <c r="F1421" s="61"/>
      <c r="G1421"/>
      <c r="H1421"/>
      <c r="I1421" s="78"/>
      <c r="J1421" s="76"/>
      <c r="K1421" s="107"/>
      <c r="L1421" s="99"/>
      <c r="M1421" s="67"/>
    </row>
    <row r="1422" spans="2:13" x14ac:dyDescent="0.35">
      <c r="B1422" s="58"/>
      <c r="C1422" s="59"/>
      <c r="D1422" s="59"/>
      <c r="E1422" s="60"/>
      <c r="F1422" s="61"/>
      <c r="G1422"/>
      <c r="H1422"/>
      <c r="I1422" s="78"/>
      <c r="J1422" s="76"/>
      <c r="K1422" s="107"/>
      <c r="L1422" s="99"/>
      <c r="M1422" s="67"/>
    </row>
    <row r="1423" spans="2:13" x14ac:dyDescent="0.35">
      <c r="B1423" s="58"/>
      <c r="C1423" s="59"/>
      <c r="D1423" s="59"/>
      <c r="E1423" s="60"/>
      <c r="F1423" s="61"/>
      <c r="G1423"/>
      <c r="H1423"/>
      <c r="I1423" s="78"/>
      <c r="J1423" s="76"/>
      <c r="K1423" s="107"/>
      <c r="L1423" s="99"/>
      <c r="M1423" s="67"/>
    </row>
    <row r="1424" spans="2:13" x14ac:dyDescent="0.35">
      <c r="B1424" s="58"/>
      <c r="C1424" s="59"/>
      <c r="D1424" s="59"/>
      <c r="E1424" s="60"/>
      <c r="F1424" s="61"/>
      <c r="G1424"/>
      <c r="H1424"/>
      <c r="I1424" s="78"/>
      <c r="J1424" s="76"/>
      <c r="K1424" s="107"/>
      <c r="L1424" s="99"/>
      <c r="M1424" s="67"/>
    </row>
    <row r="1425" spans="2:13" x14ac:dyDescent="0.35">
      <c r="B1425" s="58"/>
      <c r="C1425" s="59"/>
      <c r="D1425" s="59"/>
      <c r="E1425" s="60"/>
      <c r="F1425" s="61"/>
      <c r="G1425"/>
      <c r="H1425"/>
      <c r="I1425" s="78"/>
      <c r="J1425" s="76"/>
      <c r="K1425" s="107"/>
      <c r="L1425" s="99"/>
      <c r="M1425" s="67"/>
    </row>
    <row r="1426" spans="2:13" x14ac:dyDescent="0.35">
      <c r="B1426" s="58"/>
      <c r="C1426" s="59"/>
      <c r="D1426" s="59"/>
      <c r="E1426" s="60"/>
      <c r="F1426" s="61"/>
      <c r="G1426"/>
      <c r="H1426"/>
      <c r="I1426" s="78"/>
      <c r="J1426" s="76"/>
      <c r="K1426" s="107"/>
      <c r="L1426" s="99"/>
      <c r="M1426" s="67"/>
    </row>
    <row r="1427" spans="2:13" x14ac:dyDescent="0.35">
      <c r="B1427" s="58"/>
      <c r="C1427" s="59"/>
      <c r="D1427" s="59"/>
      <c r="E1427" s="60"/>
      <c r="F1427" s="61"/>
      <c r="G1427"/>
      <c r="H1427"/>
      <c r="I1427" s="78"/>
      <c r="J1427" s="76"/>
      <c r="K1427" s="107"/>
      <c r="L1427" s="99"/>
      <c r="M1427" s="67"/>
    </row>
    <row r="1428" spans="2:13" x14ac:dyDescent="0.35">
      <c r="B1428" s="58"/>
      <c r="C1428" s="59"/>
      <c r="D1428" s="59"/>
      <c r="E1428" s="60"/>
      <c r="F1428" s="61"/>
      <c r="G1428"/>
      <c r="H1428"/>
      <c r="I1428" s="78"/>
      <c r="J1428" s="76"/>
      <c r="K1428" s="107"/>
      <c r="L1428" s="99"/>
      <c r="M1428" s="67"/>
    </row>
    <row r="1429" spans="2:13" x14ac:dyDescent="0.35">
      <c r="B1429" s="58"/>
      <c r="C1429" s="59"/>
      <c r="D1429" s="59"/>
      <c r="E1429" s="60"/>
      <c r="F1429" s="61"/>
      <c r="G1429"/>
      <c r="H1429"/>
      <c r="I1429" s="78"/>
      <c r="J1429" s="76"/>
      <c r="K1429" s="107"/>
      <c r="L1429" s="99"/>
      <c r="M1429" s="67"/>
    </row>
    <row r="1430" spans="2:13" x14ac:dyDescent="0.35">
      <c r="B1430" s="58"/>
      <c r="C1430" s="59"/>
      <c r="D1430" s="59"/>
      <c r="E1430" s="60"/>
      <c r="F1430" s="61"/>
      <c r="G1430"/>
      <c r="H1430"/>
      <c r="I1430" s="78"/>
      <c r="J1430" s="76"/>
      <c r="K1430" s="107"/>
      <c r="L1430" s="99"/>
      <c r="M1430" s="67"/>
    </row>
    <row r="1431" spans="2:13" x14ac:dyDescent="0.35">
      <c r="B1431" s="58"/>
      <c r="C1431" s="59"/>
      <c r="D1431" s="59"/>
      <c r="E1431" s="60"/>
      <c r="F1431" s="61"/>
      <c r="G1431"/>
      <c r="H1431"/>
      <c r="I1431" s="78"/>
      <c r="J1431" s="76"/>
      <c r="K1431" s="107"/>
      <c r="L1431" s="99"/>
      <c r="M1431" s="67"/>
    </row>
    <row r="1432" spans="2:13" x14ac:dyDescent="0.35">
      <c r="B1432" s="58"/>
      <c r="C1432" s="59"/>
      <c r="D1432" s="59"/>
      <c r="E1432" s="60"/>
      <c r="F1432" s="61"/>
      <c r="G1432"/>
      <c r="H1432"/>
      <c r="I1432" s="78"/>
      <c r="J1432" s="76"/>
      <c r="K1432" s="107"/>
      <c r="L1432" s="99"/>
      <c r="M1432" s="67"/>
    </row>
    <row r="1433" spans="2:13" x14ac:dyDescent="0.35">
      <c r="B1433" s="58"/>
      <c r="C1433" s="59"/>
      <c r="D1433" s="59"/>
      <c r="E1433" s="60"/>
      <c r="F1433" s="61"/>
      <c r="G1433"/>
      <c r="H1433"/>
      <c r="I1433" s="78"/>
      <c r="J1433" s="76"/>
      <c r="K1433" s="107"/>
      <c r="L1433" s="99"/>
      <c r="M1433" s="67"/>
    </row>
    <row r="1434" spans="2:13" x14ac:dyDescent="0.35">
      <c r="B1434" s="58"/>
      <c r="C1434" s="59"/>
      <c r="D1434" s="59"/>
      <c r="E1434" s="60"/>
      <c r="F1434" s="61"/>
      <c r="G1434"/>
      <c r="H1434"/>
      <c r="I1434" s="78"/>
      <c r="J1434" s="76"/>
      <c r="K1434" s="107"/>
      <c r="L1434" s="99"/>
      <c r="M1434" s="67"/>
    </row>
    <row r="1435" spans="2:13" x14ac:dyDescent="0.35">
      <c r="B1435" s="58"/>
      <c r="C1435" s="59"/>
      <c r="D1435" s="59"/>
      <c r="E1435" s="60"/>
      <c r="F1435" s="61"/>
      <c r="G1435"/>
      <c r="H1435"/>
      <c r="I1435" s="78"/>
      <c r="J1435" s="76"/>
      <c r="K1435" s="107"/>
      <c r="L1435" s="99"/>
      <c r="M1435" s="67"/>
    </row>
    <row r="1436" spans="2:13" x14ac:dyDescent="0.35">
      <c r="B1436" s="58"/>
      <c r="C1436" s="59"/>
      <c r="D1436" s="59"/>
      <c r="E1436" s="60"/>
      <c r="F1436" s="61"/>
      <c r="G1436"/>
      <c r="H1436"/>
      <c r="I1436" s="78"/>
      <c r="J1436" s="76"/>
      <c r="K1436" s="107"/>
      <c r="L1436" s="99"/>
      <c r="M1436" s="67"/>
    </row>
    <row r="1437" spans="2:13" x14ac:dyDescent="0.35">
      <c r="B1437" s="58"/>
      <c r="C1437" s="59"/>
      <c r="D1437" s="59"/>
      <c r="E1437" s="60"/>
      <c r="F1437" s="61"/>
      <c r="G1437"/>
      <c r="H1437"/>
      <c r="I1437" s="78"/>
      <c r="J1437" s="76"/>
      <c r="K1437" s="107"/>
      <c r="L1437" s="99"/>
      <c r="M1437" s="67"/>
    </row>
    <row r="1438" spans="2:13" x14ac:dyDescent="0.35">
      <c r="B1438" s="58"/>
      <c r="C1438" s="59"/>
      <c r="D1438" s="59"/>
      <c r="E1438" s="60"/>
      <c r="F1438" s="61"/>
      <c r="G1438"/>
      <c r="H1438"/>
      <c r="I1438" s="78"/>
      <c r="J1438" s="76"/>
      <c r="K1438" s="107"/>
      <c r="L1438" s="99"/>
      <c r="M1438" s="67"/>
    </row>
    <row r="1439" spans="2:13" x14ac:dyDescent="0.35">
      <c r="B1439" s="58"/>
      <c r="C1439" s="59"/>
      <c r="D1439" s="59"/>
      <c r="E1439" s="60"/>
      <c r="F1439" s="61"/>
      <c r="G1439"/>
      <c r="H1439"/>
      <c r="I1439" s="78"/>
      <c r="J1439" s="76"/>
      <c r="K1439" s="107"/>
      <c r="L1439" s="99"/>
      <c r="M1439" s="67"/>
    </row>
    <row r="1440" spans="2:13" x14ac:dyDescent="0.35">
      <c r="B1440" s="58"/>
      <c r="C1440" s="59"/>
      <c r="D1440" s="59"/>
      <c r="E1440" s="60"/>
      <c r="F1440" s="61"/>
      <c r="G1440"/>
      <c r="H1440"/>
      <c r="I1440" s="78"/>
      <c r="J1440" s="76"/>
      <c r="K1440" s="107"/>
      <c r="L1440" s="99"/>
      <c r="M1440" s="67"/>
    </row>
    <row r="1441" spans="2:13" x14ac:dyDescent="0.35">
      <c r="B1441" s="58"/>
      <c r="C1441" s="59"/>
      <c r="D1441" s="59"/>
      <c r="E1441" s="60"/>
      <c r="F1441" s="61"/>
      <c r="G1441"/>
      <c r="H1441"/>
      <c r="I1441" s="78"/>
      <c r="J1441" s="76"/>
      <c r="K1441" s="107"/>
      <c r="L1441" s="99"/>
      <c r="M1441" s="67"/>
    </row>
    <row r="1442" spans="2:13" x14ac:dyDescent="0.35">
      <c r="B1442" s="58"/>
      <c r="C1442" s="59"/>
      <c r="D1442" s="59"/>
      <c r="E1442" s="60"/>
      <c r="F1442" s="61"/>
      <c r="G1442"/>
      <c r="H1442"/>
      <c r="I1442" s="78"/>
      <c r="J1442" s="76"/>
      <c r="K1442" s="107"/>
      <c r="L1442" s="99"/>
      <c r="M1442" s="67"/>
    </row>
    <row r="1443" spans="2:13" x14ac:dyDescent="0.35">
      <c r="B1443" s="58"/>
      <c r="C1443" s="59"/>
      <c r="D1443" s="59"/>
      <c r="E1443" s="60"/>
      <c r="F1443" s="61"/>
      <c r="G1443"/>
      <c r="H1443"/>
      <c r="I1443" s="78"/>
      <c r="J1443" s="76"/>
      <c r="K1443" s="107"/>
      <c r="L1443" s="99"/>
      <c r="M1443" s="67"/>
    </row>
    <row r="1444" spans="2:13" x14ac:dyDescent="0.35">
      <c r="B1444" s="58"/>
      <c r="C1444" s="59"/>
      <c r="D1444" s="59"/>
      <c r="E1444" s="60"/>
      <c r="F1444" s="61"/>
      <c r="G1444"/>
      <c r="H1444"/>
      <c r="I1444" s="78"/>
      <c r="J1444" s="76"/>
      <c r="K1444" s="107"/>
      <c r="L1444" s="99"/>
      <c r="M1444" s="67"/>
    </row>
    <row r="1445" spans="2:13" x14ac:dyDescent="0.35">
      <c r="B1445" s="58"/>
      <c r="C1445" s="59"/>
      <c r="D1445" s="59"/>
      <c r="E1445" s="60"/>
      <c r="F1445" s="61"/>
      <c r="G1445"/>
      <c r="H1445"/>
      <c r="I1445" s="78"/>
      <c r="J1445" s="76"/>
      <c r="K1445" s="107"/>
      <c r="L1445" s="99"/>
      <c r="M1445" s="67"/>
    </row>
    <row r="1446" spans="2:13" x14ac:dyDescent="0.35">
      <c r="B1446" s="58"/>
      <c r="C1446" s="59"/>
      <c r="D1446" s="59"/>
      <c r="E1446" s="60"/>
      <c r="F1446" s="61"/>
      <c r="G1446"/>
      <c r="H1446"/>
      <c r="I1446" s="78"/>
      <c r="J1446" s="76"/>
      <c r="K1446" s="107"/>
      <c r="L1446" s="99"/>
      <c r="M1446" s="67"/>
    </row>
    <row r="1447" spans="2:13" x14ac:dyDescent="0.35">
      <c r="B1447" s="58"/>
      <c r="C1447" s="59"/>
      <c r="D1447" s="59"/>
      <c r="E1447" s="60"/>
      <c r="F1447" s="61"/>
      <c r="G1447"/>
      <c r="H1447"/>
      <c r="I1447" s="78"/>
      <c r="J1447" s="76"/>
      <c r="K1447" s="107"/>
      <c r="L1447" s="99"/>
      <c r="M1447" s="67"/>
    </row>
    <row r="1448" spans="2:13" x14ac:dyDescent="0.35">
      <c r="B1448" s="58"/>
      <c r="C1448" s="59"/>
      <c r="D1448" s="59"/>
      <c r="E1448" s="60"/>
      <c r="F1448" s="61"/>
      <c r="G1448"/>
      <c r="H1448"/>
      <c r="I1448" s="78"/>
      <c r="J1448" s="76"/>
      <c r="K1448" s="107"/>
      <c r="L1448" s="99"/>
      <c r="M1448" s="67"/>
    </row>
    <row r="1449" spans="2:13" x14ac:dyDescent="0.35">
      <c r="B1449" s="58"/>
      <c r="C1449" s="59"/>
      <c r="D1449" s="59"/>
      <c r="E1449" s="60"/>
      <c r="F1449" s="61"/>
      <c r="G1449"/>
      <c r="H1449"/>
      <c r="I1449" s="78"/>
      <c r="J1449" s="76"/>
      <c r="K1449" s="107"/>
      <c r="L1449" s="99"/>
      <c r="M1449" s="67"/>
    </row>
    <row r="1450" spans="2:13" x14ac:dyDescent="0.35">
      <c r="B1450" s="58"/>
      <c r="C1450" s="59"/>
      <c r="D1450" s="59"/>
      <c r="E1450" s="60"/>
      <c r="F1450" s="61"/>
      <c r="G1450"/>
      <c r="H1450"/>
      <c r="I1450" s="78"/>
      <c r="J1450" s="76"/>
      <c r="K1450" s="107"/>
      <c r="L1450" s="99"/>
      <c r="M1450" s="67"/>
    </row>
    <row r="1451" spans="2:13" x14ac:dyDescent="0.35">
      <c r="B1451" s="58"/>
      <c r="C1451" s="59"/>
      <c r="D1451" s="59"/>
      <c r="E1451" s="60"/>
      <c r="F1451" s="61"/>
      <c r="G1451"/>
      <c r="H1451"/>
      <c r="I1451" s="78"/>
      <c r="J1451" s="76"/>
      <c r="K1451" s="107"/>
      <c r="L1451" s="99"/>
      <c r="M1451" s="67"/>
    </row>
    <row r="1452" spans="2:13" x14ac:dyDescent="0.35">
      <c r="B1452" s="58"/>
      <c r="C1452" s="59"/>
      <c r="D1452" s="59"/>
      <c r="E1452" s="60"/>
      <c r="F1452" s="61"/>
      <c r="G1452"/>
      <c r="H1452"/>
      <c r="I1452" s="78"/>
      <c r="J1452" s="76"/>
      <c r="K1452" s="107"/>
      <c r="L1452" s="99"/>
      <c r="M1452" s="67"/>
    </row>
    <row r="1453" spans="2:13" x14ac:dyDescent="0.35">
      <c r="B1453" s="58"/>
      <c r="C1453" s="59"/>
      <c r="D1453" s="59"/>
      <c r="E1453" s="60"/>
      <c r="F1453" s="61"/>
      <c r="G1453"/>
      <c r="H1453"/>
      <c r="I1453" s="78"/>
      <c r="J1453" s="76"/>
      <c r="K1453" s="107"/>
      <c r="L1453" s="99"/>
      <c r="M1453" s="67"/>
    </row>
    <row r="1454" spans="2:13" x14ac:dyDescent="0.35">
      <c r="B1454" s="58"/>
      <c r="C1454" s="59"/>
      <c r="D1454" s="59"/>
      <c r="E1454" s="60"/>
      <c r="F1454" s="61"/>
      <c r="G1454"/>
      <c r="H1454"/>
      <c r="I1454" s="78"/>
      <c r="J1454" s="76"/>
      <c r="K1454" s="107"/>
      <c r="L1454" s="99"/>
      <c r="M1454" s="67"/>
    </row>
    <row r="1455" spans="2:13" x14ac:dyDescent="0.35">
      <c r="B1455" s="58"/>
      <c r="C1455" s="59"/>
      <c r="D1455" s="59"/>
      <c r="E1455" s="60"/>
      <c r="F1455" s="61"/>
      <c r="G1455"/>
      <c r="H1455"/>
      <c r="I1455" s="78"/>
      <c r="J1455" s="76"/>
      <c r="K1455" s="107"/>
      <c r="L1455" s="99"/>
      <c r="M1455" s="67"/>
    </row>
    <row r="1456" spans="2:13" x14ac:dyDescent="0.35">
      <c r="B1456" s="58"/>
      <c r="C1456" s="59"/>
      <c r="D1456" s="59"/>
      <c r="E1456" s="60"/>
      <c r="F1456" s="61"/>
      <c r="G1456"/>
      <c r="H1456"/>
      <c r="I1456" s="78"/>
      <c r="J1456" s="76"/>
      <c r="K1456" s="107"/>
      <c r="L1456" s="99"/>
      <c r="M1456" s="67"/>
    </row>
    <row r="1457" spans="2:13" x14ac:dyDescent="0.35">
      <c r="B1457" s="58"/>
      <c r="C1457" s="59"/>
      <c r="D1457" s="59"/>
      <c r="E1457" s="60"/>
      <c r="F1457" s="61"/>
      <c r="G1457"/>
      <c r="H1457"/>
      <c r="I1457" s="78"/>
      <c r="J1457" s="76"/>
      <c r="K1457" s="107"/>
      <c r="L1457" s="99"/>
      <c r="M1457" s="67"/>
    </row>
    <row r="1458" spans="2:13" x14ac:dyDescent="0.35">
      <c r="B1458" s="58"/>
      <c r="C1458" s="59"/>
      <c r="D1458" s="59"/>
      <c r="E1458" s="60"/>
      <c r="F1458" s="61"/>
      <c r="G1458"/>
      <c r="H1458"/>
      <c r="I1458" s="78"/>
      <c r="J1458" s="76"/>
      <c r="K1458" s="107"/>
      <c r="L1458" s="99"/>
      <c r="M1458" s="67"/>
    </row>
    <row r="1459" spans="2:13" x14ac:dyDescent="0.35">
      <c r="B1459" s="58"/>
      <c r="C1459" s="59"/>
      <c r="D1459" s="59"/>
      <c r="E1459" s="60"/>
      <c r="F1459" s="61"/>
      <c r="G1459"/>
      <c r="H1459"/>
      <c r="I1459" s="78"/>
      <c r="J1459" s="76"/>
      <c r="K1459" s="107"/>
      <c r="L1459" s="99"/>
      <c r="M1459" s="67"/>
    </row>
    <row r="1460" spans="2:13" x14ac:dyDescent="0.35">
      <c r="B1460" s="58"/>
      <c r="C1460" s="59"/>
      <c r="D1460" s="59"/>
      <c r="E1460" s="60"/>
      <c r="F1460" s="61"/>
      <c r="G1460"/>
      <c r="H1460"/>
      <c r="I1460" s="78"/>
      <c r="J1460" s="76"/>
      <c r="K1460" s="107"/>
      <c r="L1460" s="99"/>
      <c r="M1460" s="67"/>
    </row>
    <row r="1461" spans="2:13" x14ac:dyDescent="0.35">
      <c r="B1461" s="58"/>
      <c r="C1461" s="59"/>
      <c r="D1461" s="59"/>
      <c r="E1461" s="60"/>
      <c r="F1461" s="61"/>
      <c r="G1461"/>
      <c r="H1461"/>
      <c r="I1461" s="78"/>
      <c r="J1461" s="76"/>
      <c r="K1461" s="107"/>
      <c r="L1461" s="99"/>
      <c r="M1461" s="67"/>
    </row>
    <row r="1462" spans="2:13" x14ac:dyDescent="0.35">
      <c r="B1462" s="58"/>
      <c r="C1462" s="59"/>
      <c r="D1462" s="59"/>
      <c r="E1462" s="60"/>
      <c r="F1462" s="61"/>
      <c r="G1462"/>
      <c r="H1462"/>
      <c r="I1462" s="78"/>
      <c r="J1462" s="76"/>
      <c r="K1462" s="107"/>
      <c r="L1462" s="99"/>
      <c r="M1462" s="67"/>
    </row>
    <row r="1463" spans="2:13" x14ac:dyDescent="0.35">
      <c r="B1463" s="58"/>
      <c r="C1463" s="59"/>
      <c r="D1463" s="59"/>
      <c r="E1463" s="60"/>
      <c r="F1463" s="61"/>
      <c r="G1463"/>
      <c r="H1463"/>
      <c r="I1463" s="78"/>
      <c r="J1463" s="76"/>
      <c r="K1463" s="107"/>
      <c r="L1463" s="99"/>
      <c r="M1463" s="67"/>
    </row>
    <row r="1464" spans="2:13" x14ac:dyDescent="0.35">
      <c r="B1464" s="58"/>
      <c r="C1464" s="59"/>
      <c r="D1464" s="59"/>
      <c r="E1464" s="60"/>
      <c r="F1464" s="61"/>
      <c r="G1464"/>
      <c r="H1464"/>
      <c r="I1464" s="78"/>
      <c r="J1464" s="76"/>
      <c r="K1464" s="107"/>
      <c r="L1464" s="99"/>
      <c r="M1464" s="67"/>
    </row>
    <row r="1465" spans="2:13" x14ac:dyDescent="0.35">
      <c r="B1465" s="58"/>
      <c r="C1465" s="59"/>
      <c r="D1465" s="59"/>
      <c r="E1465" s="60"/>
      <c r="F1465" s="61"/>
      <c r="G1465"/>
      <c r="H1465"/>
      <c r="I1465" s="78"/>
      <c r="J1465" s="76"/>
      <c r="K1465" s="107"/>
      <c r="L1465" s="99"/>
      <c r="M1465" s="67"/>
    </row>
    <row r="1466" spans="2:13" x14ac:dyDescent="0.35">
      <c r="B1466" s="58"/>
      <c r="C1466" s="59"/>
      <c r="D1466" s="59"/>
      <c r="E1466" s="60"/>
      <c r="F1466" s="61"/>
      <c r="G1466"/>
      <c r="H1466"/>
      <c r="I1466" s="78"/>
      <c r="J1466" s="76"/>
      <c r="K1466" s="107"/>
      <c r="L1466" s="99"/>
      <c r="M1466" s="67"/>
    </row>
    <row r="1467" spans="2:13" x14ac:dyDescent="0.35">
      <c r="B1467" s="58"/>
      <c r="C1467" s="59"/>
      <c r="D1467" s="59"/>
      <c r="E1467" s="60"/>
      <c r="F1467" s="61"/>
      <c r="G1467"/>
      <c r="H1467"/>
      <c r="I1467" s="78"/>
      <c r="J1467" s="76"/>
      <c r="K1467" s="107"/>
      <c r="L1467" s="99"/>
      <c r="M1467" s="67"/>
    </row>
    <row r="1468" spans="2:13" x14ac:dyDescent="0.35">
      <c r="B1468" s="58"/>
      <c r="C1468" s="59"/>
      <c r="D1468" s="59"/>
      <c r="E1468" s="60"/>
      <c r="F1468" s="61"/>
      <c r="G1468"/>
      <c r="H1468"/>
      <c r="I1468" s="78"/>
      <c r="J1468" s="76"/>
      <c r="K1468" s="107"/>
      <c r="L1468" s="99"/>
      <c r="M1468" s="67"/>
    </row>
    <row r="1469" spans="2:13" x14ac:dyDescent="0.35">
      <c r="B1469" s="58"/>
      <c r="C1469" s="59"/>
      <c r="D1469" s="59"/>
      <c r="E1469" s="60"/>
      <c r="F1469" s="61"/>
      <c r="G1469"/>
      <c r="H1469"/>
      <c r="I1469" s="78"/>
      <c r="J1469" s="76"/>
      <c r="K1469" s="107"/>
      <c r="L1469" s="99"/>
      <c r="M1469" s="67"/>
    </row>
    <row r="1470" spans="2:13" x14ac:dyDescent="0.35">
      <c r="B1470" s="58"/>
      <c r="C1470" s="59"/>
      <c r="D1470" s="59"/>
      <c r="E1470" s="60"/>
      <c r="F1470" s="61"/>
      <c r="G1470"/>
      <c r="H1470"/>
      <c r="I1470" s="78"/>
      <c r="J1470" s="76"/>
      <c r="K1470" s="107"/>
      <c r="L1470" s="99"/>
      <c r="M1470" s="67"/>
    </row>
    <row r="1471" spans="2:13" x14ac:dyDescent="0.35">
      <c r="B1471" s="58"/>
      <c r="C1471" s="59"/>
      <c r="D1471" s="59"/>
      <c r="E1471" s="60"/>
      <c r="F1471" s="61"/>
      <c r="G1471"/>
      <c r="H1471"/>
      <c r="I1471" s="78"/>
      <c r="J1471" s="76"/>
      <c r="K1471" s="107"/>
      <c r="L1471" s="99"/>
      <c r="M1471" s="67"/>
    </row>
    <row r="1472" spans="2:13" x14ac:dyDescent="0.35">
      <c r="B1472" s="58"/>
      <c r="C1472" s="59"/>
      <c r="D1472" s="59"/>
      <c r="E1472" s="60"/>
      <c r="F1472" s="61"/>
      <c r="G1472"/>
      <c r="H1472"/>
      <c r="I1472" s="78"/>
      <c r="J1472" s="76"/>
      <c r="K1472" s="107"/>
      <c r="L1472" s="99"/>
      <c r="M1472" s="67"/>
    </row>
    <row r="1473" spans="2:13" x14ac:dyDescent="0.35">
      <c r="B1473" s="58"/>
      <c r="C1473" s="59"/>
      <c r="D1473" s="59"/>
      <c r="E1473" s="60"/>
      <c r="F1473" s="61"/>
      <c r="G1473"/>
      <c r="H1473"/>
      <c r="I1473" s="78"/>
      <c r="J1473" s="76"/>
      <c r="K1473" s="107"/>
      <c r="L1473" s="99"/>
      <c r="M1473" s="67"/>
    </row>
    <row r="1474" spans="2:13" x14ac:dyDescent="0.35">
      <c r="B1474" s="58"/>
      <c r="C1474" s="59"/>
      <c r="D1474" s="59"/>
      <c r="E1474" s="60"/>
      <c r="F1474" s="61"/>
      <c r="G1474"/>
      <c r="H1474"/>
      <c r="I1474" s="78"/>
      <c r="J1474" s="76"/>
      <c r="K1474" s="107"/>
      <c r="L1474" s="99"/>
      <c r="M1474" s="67"/>
    </row>
    <row r="1475" spans="2:13" x14ac:dyDescent="0.35">
      <c r="B1475" s="58"/>
      <c r="C1475" s="59"/>
      <c r="D1475" s="59"/>
      <c r="E1475" s="60"/>
      <c r="F1475" s="61"/>
      <c r="G1475"/>
      <c r="H1475"/>
      <c r="I1475" s="71"/>
      <c r="J1475" s="76"/>
      <c r="K1475" s="107"/>
      <c r="L1475" s="99"/>
      <c r="M1475" s="67"/>
    </row>
    <row r="1476" spans="2:13" x14ac:dyDescent="0.35">
      <c r="B1476" s="58"/>
      <c r="C1476" s="59"/>
      <c r="D1476" s="59"/>
      <c r="E1476" s="60"/>
      <c r="F1476" s="61"/>
      <c r="G1476"/>
      <c r="H1476"/>
      <c r="I1476" s="78"/>
      <c r="J1476" s="76"/>
      <c r="K1476" s="107"/>
      <c r="L1476" s="99"/>
      <c r="M1476" s="67"/>
    </row>
    <row r="1477" spans="2:13" x14ac:dyDescent="0.35">
      <c r="B1477" s="58"/>
      <c r="C1477" s="59"/>
      <c r="D1477" s="59"/>
      <c r="E1477" s="60"/>
      <c r="F1477" s="61"/>
      <c r="G1477"/>
      <c r="H1477"/>
      <c r="I1477" s="78"/>
      <c r="J1477" s="76"/>
      <c r="K1477" s="107"/>
      <c r="L1477" s="99"/>
      <c r="M1477" s="67"/>
    </row>
    <row r="1478" spans="2:13" x14ac:dyDescent="0.35">
      <c r="B1478" s="58"/>
      <c r="C1478" s="59"/>
      <c r="D1478" s="59"/>
      <c r="E1478" s="60"/>
      <c r="F1478" s="61"/>
      <c r="G1478"/>
      <c r="H1478"/>
      <c r="I1478" s="78"/>
      <c r="J1478" s="76"/>
      <c r="K1478" s="107"/>
      <c r="L1478" s="99"/>
      <c r="M1478" s="67"/>
    </row>
    <row r="1479" spans="2:13" x14ac:dyDescent="0.35">
      <c r="B1479" s="58"/>
      <c r="C1479" s="59"/>
      <c r="D1479" s="59"/>
      <c r="E1479" s="60"/>
      <c r="F1479" s="61"/>
      <c r="G1479"/>
      <c r="H1479"/>
      <c r="I1479" s="78"/>
      <c r="J1479" s="76"/>
      <c r="K1479" s="107"/>
      <c r="L1479" s="99"/>
      <c r="M1479" s="67"/>
    </row>
    <row r="1480" spans="2:13" x14ac:dyDescent="0.35">
      <c r="B1480" s="58"/>
      <c r="C1480" s="59"/>
      <c r="D1480" s="59"/>
      <c r="E1480" s="60"/>
      <c r="F1480" s="61"/>
      <c r="G1480"/>
      <c r="H1480"/>
      <c r="I1480" s="78"/>
      <c r="J1480" s="76"/>
      <c r="K1480" s="107"/>
      <c r="L1480" s="99"/>
      <c r="M1480" s="67"/>
    </row>
    <row r="1481" spans="2:13" x14ac:dyDescent="0.35">
      <c r="B1481" s="58"/>
      <c r="C1481" s="59"/>
      <c r="D1481" s="59"/>
      <c r="E1481" s="60"/>
      <c r="F1481" s="61"/>
      <c r="G1481"/>
      <c r="H1481"/>
      <c r="I1481" s="78"/>
      <c r="J1481" s="76"/>
      <c r="K1481" s="107"/>
      <c r="L1481" s="99"/>
      <c r="M1481" s="67"/>
    </row>
    <row r="1482" spans="2:13" x14ac:dyDescent="0.35">
      <c r="B1482" s="58"/>
      <c r="C1482" s="59"/>
      <c r="D1482" s="59"/>
      <c r="E1482" s="60"/>
      <c r="F1482" s="61"/>
      <c r="G1482"/>
      <c r="H1482"/>
      <c r="I1482" s="78"/>
      <c r="J1482" s="76"/>
      <c r="K1482" s="107"/>
      <c r="L1482" s="99"/>
      <c r="M1482" s="67"/>
    </row>
    <row r="1483" spans="2:13" x14ac:dyDescent="0.35">
      <c r="B1483" s="58"/>
      <c r="C1483" s="59"/>
      <c r="D1483" s="59"/>
      <c r="E1483" s="60"/>
      <c r="F1483" s="61"/>
      <c r="G1483"/>
      <c r="H1483"/>
      <c r="I1483" s="78"/>
      <c r="J1483" s="76"/>
      <c r="K1483" s="107"/>
      <c r="L1483" s="99"/>
      <c r="M1483" s="67"/>
    </row>
    <row r="1484" spans="2:13" x14ac:dyDescent="0.35">
      <c r="B1484" s="58"/>
      <c r="C1484" s="59"/>
      <c r="D1484" s="59"/>
      <c r="E1484" s="60"/>
      <c r="F1484" s="61"/>
      <c r="G1484"/>
      <c r="H1484"/>
      <c r="I1484" s="78"/>
      <c r="J1484" s="76"/>
      <c r="K1484" s="107"/>
      <c r="L1484" s="99"/>
      <c r="M1484" s="67"/>
    </row>
    <row r="1485" spans="2:13" x14ac:dyDescent="0.35">
      <c r="B1485" s="58"/>
      <c r="C1485" s="59"/>
      <c r="D1485" s="59"/>
      <c r="E1485" s="60"/>
      <c r="F1485" s="61"/>
      <c r="G1485"/>
      <c r="H1485"/>
      <c r="I1485" s="78"/>
      <c r="J1485" s="76"/>
      <c r="K1485" s="107"/>
      <c r="L1485" s="99"/>
      <c r="M1485" s="67"/>
    </row>
    <row r="1486" spans="2:13" x14ac:dyDescent="0.35">
      <c r="B1486" s="58"/>
      <c r="C1486" s="59"/>
      <c r="D1486" s="59"/>
      <c r="E1486" s="60"/>
      <c r="F1486" s="61"/>
      <c r="G1486"/>
      <c r="H1486"/>
      <c r="I1486" s="78"/>
      <c r="J1486" s="76"/>
      <c r="K1486" s="107"/>
      <c r="L1486" s="99"/>
      <c r="M1486" s="67"/>
    </row>
    <row r="1487" spans="2:13" x14ac:dyDescent="0.35">
      <c r="B1487" s="58"/>
      <c r="C1487" s="59"/>
      <c r="D1487" s="59"/>
      <c r="E1487" s="60"/>
      <c r="F1487" s="61"/>
      <c r="G1487"/>
      <c r="H1487"/>
      <c r="I1487" s="78"/>
      <c r="J1487" s="76"/>
      <c r="K1487" s="107"/>
      <c r="L1487" s="99"/>
      <c r="M1487" s="67"/>
    </row>
    <row r="1488" spans="2:13" x14ac:dyDescent="0.35">
      <c r="B1488" s="58"/>
      <c r="C1488" s="59"/>
      <c r="D1488" s="59"/>
      <c r="E1488" s="60"/>
      <c r="F1488" s="61"/>
      <c r="G1488"/>
      <c r="H1488"/>
      <c r="I1488" s="78"/>
      <c r="J1488" s="76"/>
      <c r="K1488" s="107"/>
      <c r="L1488" s="99"/>
      <c r="M1488" s="67"/>
    </row>
    <row r="1489" spans="2:13" x14ac:dyDescent="0.35">
      <c r="B1489" s="58"/>
      <c r="C1489" s="59"/>
      <c r="D1489" s="59"/>
      <c r="E1489" s="60"/>
      <c r="F1489" s="61"/>
      <c r="G1489"/>
      <c r="H1489"/>
      <c r="I1489" s="78"/>
      <c r="J1489" s="76"/>
      <c r="K1489" s="107"/>
      <c r="L1489" s="99"/>
      <c r="M1489" s="67"/>
    </row>
    <row r="1490" spans="2:13" x14ac:dyDescent="0.35">
      <c r="B1490" s="58"/>
      <c r="C1490" s="59"/>
      <c r="D1490" s="59"/>
      <c r="E1490" s="60"/>
      <c r="F1490" s="61"/>
      <c r="G1490"/>
      <c r="H1490"/>
      <c r="I1490" s="78"/>
      <c r="J1490" s="76"/>
      <c r="K1490" s="107"/>
      <c r="L1490" s="99"/>
      <c r="M1490" s="67"/>
    </row>
    <row r="1491" spans="2:13" x14ac:dyDescent="0.35">
      <c r="B1491" s="58"/>
      <c r="C1491" s="59"/>
      <c r="D1491" s="59"/>
      <c r="E1491" s="60"/>
      <c r="F1491" s="61"/>
      <c r="G1491"/>
      <c r="H1491"/>
      <c r="I1491" s="78"/>
      <c r="J1491" s="76"/>
      <c r="K1491" s="107"/>
      <c r="L1491" s="99"/>
      <c r="M1491" s="67"/>
    </row>
    <row r="1492" spans="2:13" x14ac:dyDescent="0.35">
      <c r="B1492" s="58"/>
      <c r="C1492" s="59"/>
      <c r="D1492" s="59"/>
      <c r="E1492" s="60"/>
      <c r="F1492" s="61"/>
      <c r="G1492"/>
      <c r="H1492"/>
      <c r="I1492" s="78"/>
      <c r="J1492" s="76"/>
      <c r="K1492" s="107"/>
      <c r="L1492" s="99"/>
      <c r="M1492" s="67"/>
    </row>
    <row r="1493" spans="2:13" x14ac:dyDescent="0.35">
      <c r="B1493" s="58"/>
      <c r="C1493" s="59"/>
      <c r="D1493" s="59"/>
      <c r="E1493" s="60"/>
      <c r="F1493" s="61"/>
      <c r="G1493"/>
      <c r="H1493"/>
      <c r="I1493" s="78"/>
      <c r="J1493" s="76"/>
      <c r="K1493" s="107"/>
      <c r="L1493" s="99"/>
      <c r="M1493" s="67"/>
    </row>
    <row r="1494" spans="2:13" x14ac:dyDescent="0.35">
      <c r="B1494" s="58"/>
      <c r="C1494" s="59"/>
      <c r="D1494" s="59"/>
      <c r="E1494" s="60"/>
      <c r="F1494" s="61"/>
      <c r="G1494"/>
      <c r="H1494"/>
      <c r="I1494" s="78"/>
      <c r="J1494" s="76"/>
      <c r="K1494" s="107"/>
      <c r="L1494" s="99"/>
      <c r="M1494" s="67"/>
    </row>
    <row r="1495" spans="2:13" x14ac:dyDescent="0.35">
      <c r="B1495" s="58"/>
      <c r="C1495" s="59"/>
      <c r="D1495" s="59"/>
      <c r="E1495" s="60"/>
      <c r="F1495" s="61"/>
      <c r="G1495"/>
      <c r="H1495"/>
      <c r="I1495" s="78"/>
      <c r="J1495" s="76"/>
      <c r="K1495" s="107"/>
      <c r="L1495" s="99"/>
      <c r="M1495" s="67"/>
    </row>
    <row r="1496" spans="2:13" x14ac:dyDescent="0.35">
      <c r="B1496" s="58"/>
      <c r="C1496" s="59"/>
      <c r="D1496" s="59"/>
      <c r="E1496" s="60"/>
      <c r="F1496" s="61"/>
      <c r="G1496"/>
      <c r="H1496"/>
      <c r="I1496" s="78"/>
      <c r="J1496" s="76"/>
      <c r="K1496" s="107"/>
      <c r="L1496" s="99"/>
      <c r="M1496" s="67"/>
    </row>
    <row r="1497" spans="2:13" x14ac:dyDescent="0.35">
      <c r="B1497" s="58"/>
      <c r="C1497" s="59"/>
      <c r="D1497" s="59"/>
      <c r="E1497" s="60"/>
      <c r="F1497" s="61"/>
      <c r="G1497"/>
      <c r="H1497"/>
      <c r="I1497" s="78"/>
      <c r="J1497" s="76"/>
      <c r="K1497" s="107"/>
      <c r="L1497" s="99"/>
      <c r="M1497" s="67"/>
    </row>
    <row r="1498" spans="2:13" x14ac:dyDescent="0.35">
      <c r="B1498" s="58"/>
      <c r="C1498" s="59"/>
      <c r="D1498" s="59"/>
      <c r="E1498" s="60"/>
      <c r="F1498" s="61"/>
      <c r="G1498"/>
      <c r="H1498"/>
      <c r="I1498" s="78"/>
      <c r="J1498" s="76"/>
      <c r="K1498" s="107"/>
      <c r="L1498" s="99"/>
      <c r="M1498" s="67"/>
    </row>
    <row r="1499" spans="2:13" x14ac:dyDescent="0.35">
      <c r="B1499" s="58"/>
      <c r="C1499" s="59"/>
      <c r="D1499" s="59"/>
      <c r="E1499" s="60"/>
      <c r="F1499" s="61"/>
      <c r="G1499"/>
      <c r="H1499"/>
      <c r="I1499" s="78"/>
      <c r="J1499" s="76"/>
      <c r="K1499" s="107"/>
      <c r="L1499" s="99"/>
      <c r="M1499" s="67"/>
    </row>
    <row r="1500" spans="2:13" x14ac:dyDescent="0.35">
      <c r="B1500" s="58"/>
      <c r="C1500" s="59"/>
      <c r="D1500" s="59"/>
      <c r="E1500" s="60"/>
      <c r="F1500" s="61"/>
      <c r="G1500"/>
      <c r="H1500"/>
      <c r="I1500" s="78"/>
      <c r="J1500" s="76"/>
      <c r="K1500" s="107"/>
      <c r="L1500" s="99"/>
      <c r="M1500" s="67"/>
    </row>
    <row r="1501" spans="2:13" x14ac:dyDescent="0.35">
      <c r="B1501" s="58"/>
      <c r="C1501" s="59"/>
      <c r="D1501" s="59"/>
      <c r="E1501" s="60"/>
      <c r="F1501" s="61"/>
      <c r="G1501"/>
      <c r="H1501"/>
      <c r="I1501" s="78"/>
      <c r="J1501" s="76"/>
      <c r="K1501" s="107"/>
      <c r="L1501" s="99"/>
      <c r="M1501" s="67"/>
    </row>
    <row r="1502" spans="2:13" x14ac:dyDescent="0.35">
      <c r="B1502" s="58"/>
      <c r="C1502" s="59"/>
      <c r="D1502" s="59"/>
      <c r="E1502" s="60"/>
      <c r="F1502" s="61"/>
      <c r="G1502"/>
      <c r="H1502"/>
      <c r="I1502" s="78"/>
      <c r="J1502" s="76"/>
      <c r="K1502" s="107"/>
      <c r="L1502" s="99"/>
      <c r="M1502" s="67"/>
    </row>
    <row r="1503" spans="2:13" x14ac:dyDescent="0.35">
      <c r="B1503" s="58"/>
      <c r="C1503" s="59"/>
      <c r="D1503" s="59"/>
      <c r="E1503" s="60"/>
      <c r="F1503" s="61"/>
      <c r="G1503"/>
      <c r="H1503"/>
      <c r="I1503" s="78"/>
      <c r="J1503" s="76"/>
      <c r="K1503" s="107"/>
      <c r="L1503" s="99"/>
      <c r="M1503" s="67"/>
    </row>
    <row r="1504" spans="2:13" x14ac:dyDescent="0.35">
      <c r="B1504" s="58"/>
      <c r="C1504" s="59"/>
      <c r="D1504" s="59"/>
      <c r="E1504" s="60"/>
      <c r="F1504" s="61"/>
      <c r="G1504"/>
      <c r="H1504"/>
      <c r="I1504" s="78"/>
      <c r="J1504" s="76"/>
      <c r="K1504" s="107"/>
      <c r="L1504" s="99"/>
      <c r="M1504" s="67"/>
    </row>
    <row r="1505" spans="2:13" x14ac:dyDescent="0.35">
      <c r="B1505" s="58"/>
      <c r="C1505" s="59"/>
      <c r="D1505" s="59"/>
      <c r="E1505" s="60"/>
      <c r="F1505" s="61"/>
      <c r="G1505"/>
      <c r="H1505"/>
      <c r="I1505" s="78"/>
      <c r="J1505" s="76"/>
      <c r="K1505" s="107"/>
      <c r="L1505" s="99"/>
      <c r="M1505" s="67"/>
    </row>
    <row r="1506" spans="2:13" x14ac:dyDescent="0.35">
      <c r="B1506" s="58"/>
      <c r="C1506" s="59"/>
      <c r="D1506" s="59"/>
      <c r="E1506" s="60"/>
      <c r="F1506" s="61"/>
      <c r="G1506"/>
      <c r="H1506"/>
      <c r="I1506" s="78"/>
      <c r="J1506" s="76"/>
      <c r="K1506" s="107"/>
      <c r="L1506" s="99"/>
      <c r="M1506" s="67"/>
    </row>
    <row r="1507" spans="2:13" x14ac:dyDescent="0.35">
      <c r="B1507" s="58"/>
      <c r="C1507" s="59"/>
      <c r="D1507" s="59"/>
      <c r="E1507" s="60"/>
      <c r="F1507" s="61"/>
      <c r="G1507"/>
      <c r="H1507"/>
      <c r="I1507" s="78"/>
      <c r="J1507" s="76"/>
      <c r="K1507" s="107"/>
      <c r="L1507" s="99"/>
      <c r="M1507" s="67"/>
    </row>
    <row r="1508" spans="2:13" x14ac:dyDescent="0.35">
      <c r="B1508" s="58"/>
      <c r="C1508" s="59"/>
      <c r="D1508" s="59"/>
      <c r="E1508" s="60"/>
      <c r="F1508" s="61"/>
      <c r="G1508"/>
      <c r="H1508"/>
      <c r="I1508" s="78"/>
      <c r="J1508" s="76"/>
      <c r="K1508" s="107"/>
      <c r="L1508" s="99"/>
      <c r="M1508" s="67"/>
    </row>
    <row r="1509" spans="2:13" x14ac:dyDescent="0.35">
      <c r="B1509" s="58"/>
      <c r="C1509" s="59"/>
      <c r="D1509" s="59"/>
      <c r="E1509" s="60"/>
      <c r="F1509" s="61"/>
      <c r="G1509"/>
      <c r="H1509"/>
      <c r="I1509" s="78"/>
      <c r="J1509" s="76"/>
      <c r="K1509" s="107"/>
      <c r="L1509" s="99"/>
      <c r="M1509" s="67"/>
    </row>
    <row r="1510" spans="2:13" x14ac:dyDescent="0.35">
      <c r="B1510" s="58"/>
      <c r="C1510" s="59"/>
      <c r="D1510" s="59"/>
      <c r="E1510" s="60"/>
      <c r="F1510" s="61"/>
      <c r="G1510"/>
      <c r="H1510"/>
      <c r="I1510" s="78"/>
      <c r="J1510" s="76"/>
      <c r="K1510" s="107"/>
      <c r="L1510" s="99"/>
      <c r="M1510" s="67"/>
    </row>
    <row r="1511" spans="2:13" x14ac:dyDescent="0.35">
      <c r="B1511" s="58"/>
      <c r="C1511" s="59"/>
      <c r="D1511" s="59"/>
      <c r="E1511" s="60"/>
      <c r="F1511" s="61"/>
      <c r="G1511"/>
      <c r="H1511"/>
      <c r="I1511" s="78"/>
      <c r="J1511" s="76"/>
      <c r="K1511" s="107"/>
      <c r="L1511" s="99"/>
      <c r="M1511" s="67"/>
    </row>
    <row r="1512" spans="2:13" x14ac:dyDescent="0.35">
      <c r="B1512" s="58"/>
      <c r="C1512" s="59"/>
      <c r="D1512" s="59"/>
      <c r="E1512" s="60"/>
      <c r="F1512" s="61"/>
      <c r="G1512"/>
      <c r="H1512"/>
      <c r="I1512" s="78"/>
      <c r="J1512" s="76"/>
      <c r="K1512" s="107"/>
      <c r="L1512" s="99"/>
      <c r="M1512" s="67"/>
    </row>
    <row r="1513" spans="2:13" x14ac:dyDescent="0.35">
      <c r="B1513" s="58"/>
      <c r="C1513" s="59"/>
      <c r="D1513" s="59"/>
      <c r="E1513" s="60"/>
      <c r="F1513" s="61"/>
      <c r="G1513"/>
      <c r="H1513"/>
      <c r="I1513" s="78"/>
      <c r="J1513" s="76"/>
      <c r="K1513" s="107"/>
      <c r="L1513" s="99"/>
      <c r="M1513" s="67"/>
    </row>
    <row r="1514" spans="2:13" x14ac:dyDescent="0.35">
      <c r="B1514" s="58"/>
      <c r="C1514" s="59"/>
      <c r="D1514" s="59"/>
      <c r="E1514" s="60"/>
      <c r="F1514" s="61"/>
      <c r="G1514"/>
      <c r="H1514"/>
      <c r="I1514" s="78"/>
      <c r="J1514" s="76"/>
      <c r="K1514" s="107"/>
      <c r="L1514" s="99"/>
      <c r="M1514" s="67"/>
    </row>
    <row r="1515" spans="2:13" x14ac:dyDescent="0.35">
      <c r="B1515" s="58"/>
      <c r="C1515" s="59"/>
      <c r="D1515" s="59"/>
      <c r="E1515" s="60"/>
      <c r="F1515" s="61"/>
      <c r="G1515"/>
      <c r="H1515"/>
      <c r="I1515" s="78"/>
      <c r="J1515" s="76"/>
      <c r="K1515" s="107"/>
      <c r="L1515" s="99"/>
      <c r="M1515" s="67"/>
    </row>
    <row r="1516" spans="2:13" x14ac:dyDescent="0.35">
      <c r="B1516" s="58"/>
      <c r="C1516" s="59"/>
      <c r="D1516" s="59"/>
      <c r="E1516" s="60"/>
      <c r="F1516" s="61"/>
      <c r="G1516"/>
      <c r="H1516"/>
      <c r="I1516" s="78"/>
      <c r="J1516" s="76"/>
      <c r="K1516" s="107"/>
      <c r="L1516" s="99"/>
      <c r="M1516" s="67"/>
    </row>
    <row r="1517" spans="2:13" x14ac:dyDescent="0.35">
      <c r="B1517" s="58"/>
      <c r="C1517" s="59"/>
      <c r="D1517" s="59"/>
      <c r="E1517" s="60"/>
      <c r="F1517" s="61"/>
      <c r="G1517"/>
      <c r="H1517"/>
      <c r="I1517" s="78"/>
      <c r="J1517" s="76"/>
      <c r="K1517" s="107"/>
      <c r="L1517" s="99"/>
      <c r="M1517" s="67"/>
    </row>
    <row r="1518" spans="2:13" x14ac:dyDescent="0.35">
      <c r="B1518" s="58"/>
      <c r="C1518" s="59"/>
      <c r="D1518" s="59"/>
      <c r="E1518" s="60"/>
      <c r="F1518" s="61"/>
      <c r="G1518"/>
      <c r="H1518"/>
      <c r="I1518" s="71"/>
      <c r="J1518" s="76"/>
      <c r="K1518" s="107"/>
      <c r="L1518" s="99"/>
      <c r="M1518" s="67"/>
    </row>
    <row r="1519" spans="2:13" x14ac:dyDescent="0.35">
      <c r="B1519" s="58"/>
      <c r="C1519" s="59"/>
      <c r="D1519" s="59"/>
      <c r="E1519" s="60"/>
      <c r="F1519" s="61"/>
      <c r="G1519"/>
      <c r="H1519"/>
      <c r="I1519" s="78"/>
      <c r="J1519" s="76"/>
      <c r="K1519" s="107"/>
      <c r="L1519" s="99"/>
      <c r="M1519" s="67"/>
    </row>
    <row r="1520" spans="2:13" x14ac:dyDescent="0.35">
      <c r="B1520" s="58"/>
      <c r="C1520" s="59"/>
      <c r="D1520" s="59"/>
      <c r="E1520" s="60"/>
      <c r="F1520" s="61"/>
      <c r="G1520"/>
      <c r="H1520"/>
      <c r="I1520" s="78"/>
      <c r="J1520" s="76"/>
      <c r="K1520" s="107"/>
      <c r="L1520" s="99"/>
      <c r="M1520" s="67"/>
    </row>
    <row r="1521" spans="2:13" x14ac:dyDescent="0.35">
      <c r="B1521" s="58"/>
      <c r="C1521" s="59"/>
      <c r="D1521" s="59"/>
      <c r="E1521" s="60"/>
      <c r="F1521" s="61"/>
      <c r="G1521"/>
      <c r="H1521"/>
      <c r="I1521" s="78"/>
      <c r="J1521" s="76"/>
      <c r="K1521" s="107"/>
      <c r="L1521" s="99"/>
      <c r="M1521" s="67"/>
    </row>
    <row r="1522" spans="2:13" x14ac:dyDescent="0.35">
      <c r="B1522" s="58"/>
      <c r="C1522" s="59"/>
      <c r="D1522" s="59"/>
      <c r="E1522" s="60"/>
      <c r="F1522" s="61"/>
      <c r="G1522"/>
      <c r="H1522"/>
      <c r="I1522" s="78"/>
      <c r="J1522" s="76"/>
      <c r="K1522" s="107"/>
      <c r="L1522" s="99"/>
      <c r="M1522" s="67"/>
    </row>
    <row r="1523" spans="2:13" x14ac:dyDescent="0.35">
      <c r="B1523" s="58"/>
      <c r="C1523" s="59"/>
      <c r="D1523" s="59"/>
      <c r="E1523" s="60"/>
      <c r="F1523" s="61"/>
      <c r="G1523"/>
      <c r="H1523"/>
      <c r="I1523" s="78"/>
      <c r="J1523" s="76"/>
      <c r="K1523" s="107"/>
      <c r="L1523" s="99"/>
      <c r="M1523" s="67"/>
    </row>
    <row r="1524" spans="2:13" x14ac:dyDescent="0.35">
      <c r="B1524" s="58"/>
      <c r="C1524" s="59"/>
      <c r="D1524" s="59"/>
      <c r="E1524" s="60"/>
      <c r="F1524" s="61"/>
      <c r="G1524"/>
      <c r="H1524"/>
      <c r="I1524" s="78"/>
      <c r="J1524" s="76"/>
      <c r="K1524" s="107"/>
      <c r="L1524" s="99"/>
      <c r="M1524" s="67"/>
    </row>
    <row r="1525" spans="2:13" x14ac:dyDescent="0.35">
      <c r="B1525" s="58"/>
      <c r="C1525" s="59"/>
      <c r="D1525" s="59"/>
      <c r="E1525" s="60"/>
      <c r="F1525" s="61"/>
      <c r="G1525"/>
      <c r="H1525"/>
      <c r="I1525" s="78"/>
      <c r="J1525" s="76"/>
      <c r="K1525" s="107"/>
      <c r="L1525" s="99"/>
      <c r="M1525" s="67"/>
    </row>
    <row r="1526" spans="2:13" x14ac:dyDescent="0.35">
      <c r="B1526" s="58"/>
      <c r="C1526" s="59"/>
      <c r="D1526" s="59"/>
      <c r="E1526" s="60"/>
      <c r="F1526" s="61"/>
      <c r="G1526"/>
      <c r="H1526"/>
      <c r="I1526" s="78"/>
      <c r="J1526" s="76"/>
      <c r="K1526" s="107"/>
      <c r="L1526" s="99"/>
      <c r="M1526" s="67"/>
    </row>
    <row r="1527" spans="2:13" x14ac:dyDescent="0.35">
      <c r="B1527" s="58"/>
      <c r="C1527" s="59"/>
      <c r="D1527" s="59"/>
      <c r="E1527" s="60"/>
      <c r="F1527" s="61"/>
      <c r="G1527"/>
      <c r="H1527"/>
      <c r="I1527" s="78"/>
      <c r="J1527" s="76"/>
      <c r="K1527" s="107"/>
      <c r="L1527" s="99"/>
      <c r="M1527" s="67"/>
    </row>
    <row r="1528" spans="2:13" x14ac:dyDescent="0.35">
      <c r="B1528" s="58"/>
      <c r="C1528" s="59"/>
      <c r="D1528" s="59"/>
      <c r="E1528" s="60"/>
      <c r="F1528" s="61"/>
      <c r="G1528"/>
      <c r="H1528"/>
      <c r="I1528" s="78"/>
      <c r="J1528" s="76"/>
      <c r="K1528" s="107"/>
      <c r="L1528" s="99"/>
      <c r="M1528" s="67"/>
    </row>
    <row r="1529" spans="2:13" x14ac:dyDescent="0.35">
      <c r="B1529" s="58"/>
      <c r="C1529" s="59"/>
      <c r="D1529" s="59"/>
      <c r="E1529" s="60"/>
      <c r="F1529" s="61"/>
      <c r="G1529"/>
      <c r="H1529"/>
      <c r="I1529" s="78"/>
      <c r="J1529" s="76"/>
      <c r="K1529" s="107"/>
      <c r="L1529" s="99"/>
      <c r="M1529" s="67"/>
    </row>
    <row r="1530" spans="2:13" x14ac:dyDescent="0.35">
      <c r="B1530" s="58"/>
      <c r="C1530" s="59"/>
      <c r="D1530" s="59"/>
      <c r="E1530" s="60"/>
      <c r="F1530" s="61"/>
      <c r="G1530"/>
      <c r="H1530"/>
      <c r="I1530" s="78"/>
      <c r="J1530" s="76"/>
      <c r="K1530" s="107"/>
      <c r="L1530" s="99"/>
      <c r="M1530" s="67"/>
    </row>
    <row r="1531" spans="2:13" x14ac:dyDescent="0.35">
      <c r="B1531" s="58"/>
      <c r="C1531" s="59"/>
      <c r="D1531" s="59"/>
      <c r="E1531" s="60"/>
      <c r="F1531" s="61"/>
      <c r="G1531"/>
      <c r="H1531"/>
      <c r="I1531" s="78"/>
      <c r="J1531" s="76"/>
      <c r="K1531" s="107"/>
      <c r="L1531" s="99"/>
      <c r="M1531" s="67"/>
    </row>
    <row r="1532" spans="2:13" x14ac:dyDescent="0.35">
      <c r="B1532" s="58"/>
      <c r="C1532" s="59"/>
      <c r="D1532" s="59"/>
      <c r="E1532" s="60"/>
      <c r="F1532" s="61"/>
      <c r="G1532"/>
      <c r="H1532"/>
      <c r="I1532" s="78"/>
      <c r="J1532" s="76"/>
      <c r="K1532" s="107"/>
      <c r="L1532" s="99"/>
      <c r="M1532" s="67"/>
    </row>
    <row r="1533" spans="2:13" x14ac:dyDescent="0.35">
      <c r="B1533" s="58"/>
      <c r="C1533" s="59"/>
      <c r="D1533" s="59"/>
      <c r="E1533" s="60"/>
      <c r="F1533" s="61"/>
      <c r="G1533"/>
      <c r="H1533"/>
      <c r="I1533" s="78"/>
      <c r="J1533" s="76"/>
      <c r="K1533" s="107"/>
      <c r="L1533" s="99"/>
      <c r="M1533" s="67"/>
    </row>
    <row r="1534" spans="2:13" x14ac:dyDescent="0.35">
      <c r="B1534" s="58"/>
      <c r="C1534" s="59"/>
      <c r="D1534" s="59"/>
      <c r="E1534" s="60"/>
      <c r="F1534" s="61"/>
      <c r="G1534"/>
      <c r="H1534"/>
      <c r="I1534" s="78"/>
      <c r="J1534" s="76"/>
      <c r="K1534" s="107"/>
      <c r="L1534" s="99"/>
      <c r="M1534" s="67"/>
    </row>
    <row r="1535" spans="2:13" x14ac:dyDescent="0.35">
      <c r="B1535" s="58"/>
      <c r="C1535" s="59"/>
      <c r="D1535" s="59"/>
      <c r="E1535" s="60"/>
      <c r="F1535" s="61"/>
      <c r="G1535"/>
      <c r="H1535"/>
      <c r="I1535" s="78"/>
      <c r="J1535" s="76"/>
      <c r="K1535" s="107"/>
      <c r="L1535" s="99"/>
      <c r="M1535" s="67"/>
    </row>
    <row r="1536" spans="2:13" x14ac:dyDescent="0.35">
      <c r="B1536" s="58"/>
      <c r="C1536" s="59"/>
      <c r="D1536" s="59"/>
      <c r="E1536" s="60"/>
      <c r="F1536" s="61"/>
      <c r="G1536"/>
      <c r="H1536"/>
      <c r="I1536" s="78"/>
      <c r="J1536" s="76"/>
      <c r="K1536" s="107"/>
      <c r="L1536" s="99"/>
      <c r="M1536" s="67"/>
    </row>
    <row r="1537" spans="2:13" x14ac:dyDescent="0.35">
      <c r="B1537" s="58"/>
      <c r="C1537" s="59"/>
      <c r="D1537" s="59"/>
      <c r="E1537" s="60"/>
      <c r="F1537" s="61"/>
      <c r="G1537"/>
      <c r="H1537"/>
      <c r="I1537" s="78"/>
      <c r="J1537" s="76"/>
      <c r="K1537" s="107"/>
      <c r="L1537" s="99"/>
      <c r="M1537" s="67"/>
    </row>
    <row r="1538" spans="2:13" x14ac:dyDescent="0.35">
      <c r="B1538" s="58"/>
      <c r="C1538" s="59"/>
      <c r="D1538" s="59"/>
      <c r="E1538" s="60"/>
      <c r="F1538" s="61"/>
      <c r="G1538"/>
      <c r="H1538"/>
      <c r="I1538" s="78"/>
      <c r="J1538" s="76"/>
      <c r="K1538" s="107"/>
      <c r="L1538" s="99"/>
      <c r="M1538" s="67"/>
    </row>
    <row r="1539" spans="2:13" x14ac:dyDescent="0.35">
      <c r="B1539" s="58"/>
      <c r="C1539" s="59"/>
      <c r="D1539" s="59"/>
      <c r="E1539" s="60"/>
      <c r="F1539" s="61"/>
      <c r="G1539"/>
      <c r="H1539"/>
      <c r="I1539" s="78"/>
      <c r="J1539" s="76"/>
      <c r="K1539" s="107"/>
      <c r="L1539" s="99"/>
      <c r="M1539" s="67"/>
    </row>
    <row r="1540" spans="2:13" x14ac:dyDescent="0.35">
      <c r="B1540" s="58"/>
      <c r="C1540" s="59"/>
      <c r="D1540" s="59"/>
      <c r="E1540" s="60"/>
      <c r="F1540" s="61"/>
      <c r="G1540"/>
      <c r="H1540"/>
      <c r="I1540" s="78"/>
      <c r="J1540" s="76"/>
      <c r="K1540" s="107"/>
      <c r="L1540" s="99"/>
      <c r="M1540" s="67"/>
    </row>
    <row r="1541" spans="2:13" x14ac:dyDescent="0.35">
      <c r="B1541" s="58"/>
      <c r="C1541" s="59"/>
      <c r="D1541" s="59"/>
      <c r="E1541" s="60"/>
      <c r="F1541" s="61"/>
      <c r="G1541"/>
      <c r="H1541"/>
      <c r="I1541" s="78"/>
      <c r="J1541" s="76"/>
      <c r="K1541" s="107"/>
      <c r="L1541" s="99"/>
      <c r="M1541" s="67"/>
    </row>
    <row r="1542" spans="2:13" x14ac:dyDescent="0.35">
      <c r="B1542" s="58"/>
      <c r="C1542" s="59"/>
      <c r="D1542" s="59"/>
      <c r="E1542" s="60"/>
      <c r="F1542" s="61"/>
      <c r="G1542"/>
      <c r="H1542"/>
      <c r="I1542" s="78"/>
      <c r="J1542" s="76"/>
      <c r="K1542" s="107"/>
      <c r="L1542" s="99"/>
      <c r="M1542" s="67"/>
    </row>
    <row r="1543" spans="2:13" x14ac:dyDescent="0.35">
      <c r="B1543" s="58"/>
      <c r="C1543" s="59"/>
      <c r="D1543" s="59"/>
      <c r="E1543" s="60"/>
      <c r="F1543" s="61"/>
      <c r="G1543"/>
      <c r="H1543"/>
      <c r="I1543" s="78"/>
      <c r="J1543" s="76"/>
      <c r="K1543" s="107"/>
      <c r="L1543" s="99"/>
      <c r="M1543" s="67"/>
    </row>
    <row r="1544" spans="2:13" x14ac:dyDescent="0.35">
      <c r="B1544" s="58"/>
      <c r="C1544" s="59"/>
      <c r="D1544" s="59"/>
      <c r="E1544" s="60"/>
      <c r="F1544" s="61"/>
      <c r="G1544"/>
      <c r="H1544"/>
      <c r="I1544" s="78"/>
      <c r="J1544" s="76"/>
      <c r="K1544" s="107"/>
      <c r="L1544" s="99"/>
      <c r="M1544" s="67"/>
    </row>
    <row r="1545" spans="2:13" x14ac:dyDescent="0.35">
      <c r="B1545" s="58"/>
      <c r="C1545" s="59"/>
      <c r="D1545" s="59"/>
      <c r="E1545" s="60"/>
      <c r="F1545" s="61"/>
      <c r="G1545"/>
      <c r="H1545"/>
      <c r="I1545" s="78"/>
      <c r="J1545" s="76"/>
      <c r="K1545" s="107"/>
      <c r="L1545" s="99"/>
      <c r="M1545" s="67"/>
    </row>
    <row r="1546" spans="2:13" x14ac:dyDescent="0.35">
      <c r="B1546" s="58"/>
      <c r="C1546" s="59"/>
      <c r="D1546" s="59"/>
      <c r="E1546" s="60"/>
      <c r="F1546" s="61"/>
      <c r="G1546"/>
      <c r="H1546"/>
      <c r="I1546" s="78"/>
      <c r="J1546" s="76"/>
      <c r="K1546" s="107"/>
      <c r="L1546" s="99"/>
      <c r="M1546" s="67"/>
    </row>
    <row r="1547" spans="2:13" x14ac:dyDescent="0.35">
      <c r="B1547" s="58"/>
      <c r="C1547" s="59"/>
      <c r="D1547" s="59"/>
      <c r="E1547" s="60"/>
      <c r="F1547" s="61"/>
      <c r="G1547"/>
      <c r="H1547"/>
      <c r="I1547" s="78"/>
      <c r="J1547" s="76"/>
      <c r="K1547" s="107"/>
      <c r="L1547" s="99"/>
      <c r="M1547" s="67"/>
    </row>
    <row r="1548" spans="2:13" x14ac:dyDescent="0.35">
      <c r="B1548" s="58"/>
      <c r="C1548" s="59"/>
      <c r="D1548" s="59"/>
      <c r="E1548" s="60"/>
      <c r="F1548" s="61"/>
      <c r="G1548"/>
      <c r="H1548"/>
      <c r="I1548" s="78"/>
      <c r="J1548" s="76"/>
      <c r="K1548" s="107"/>
      <c r="L1548" s="99"/>
      <c r="M1548" s="67"/>
    </row>
    <row r="1549" spans="2:13" x14ac:dyDescent="0.35">
      <c r="B1549" s="58"/>
      <c r="C1549" s="59"/>
      <c r="D1549" s="59"/>
      <c r="E1549" s="60"/>
      <c r="F1549" s="61"/>
      <c r="G1549"/>
      <c r="H1549"/>
      <c r="I1549" s="78"/>
      <c r="J1549" s="76"/>
      <c r="K1549" s="107"/>
      <c r="L1549" s="99"/>
      <c r="M1549" s="67"/>
    </row>
    <row r="1550" spans="2:13" x14ac:dyDescent="0.35">
      <c r="B1550" s="58"/>
      <c r="C1550" s="59"/>
      <c r="D1550" s="59"/>
      <c r="E1550" s="60"/>
      <c r="F1550" s="61"/>
      <c r="G1550"/>
      <c r="H1550"/>
      <c r="I1550" s="78"/>
      <c r="J1550" s="76"/>
      <c r="K1550" s="107"/>
      <c r="L1550" s="99"/>
      <c r="M1550" s="67"/>
    </row>
    <row r="1551" spans="2:13" x14ac:dyDescent="0.35">
      <c r="B1551" s="58"/>
      <c r="C1551" s="59"/>
      <c r="D1551" s="59"/>
      <c r="E1551" s="60"/>
      <c r="F1551" s="61"/>
      <c r="G1551"/>
      <c r="H1551"/>
      <c r="I1551" s="78"/>
      <c r="J1551" s="76"/>
      <c r="K1551" s="107"/>
      <c r="L1551" s="99"/>
      <c r="M1551" s="67"/>
    </row>
    <row r="1552" spans="2:13" x14ac:dyDescent="0.35">
      <c r="B1552" s="58"/>
      <c r="C1552" s="59"/>
      <c r="D1552" s="59"/>
      <c r="E1552" s="60"/>
      <c r="F1552" s="61"/>
      <c r="G1552"/>
      <c r="H1552"/>
      <c r="I1552" s="78"/>
      <c r="J1552" s="76"/>
      <c r="K1552" s="107"/>
      <c r="L1552" s="99"/>
      <c r="M1552" s="67"/>
    </row>
    <row r="1553" spans="2:13" x14ac:dyDescent="0.35">
      <c r="B1553" s="58"/>
      <c r="C1553" s="59"/>
      <c r="D1553" s="59"/>
      <c r="E1553" s="60"/>
      <c r="F1553" s="61"/>
      <c r="G1553"/>
      <c r="H1553"/>
      <c r="I1553" s="78"/>
      <c r="J1553" s="76"/>
      <c r="K1553" s="107"/>
      <c r="L1553" s="99"/>
      <c r="M1553" s="67"/>
    </row>
    <row r="1554" spans="2:13" x14ac:dyDescent="0.35">
      <c r="B1554" s="58"/>
      <c r="C1554" s="59"/>
      <c r="D1554" s="59"/>
      <c r="E1554" s="60"/>
      <c r="F1554" s="61"/>
      <c r="G1554"/>
      <c r="H1554"/>
      <c r="I1554" s="78"/>
      <c r="J1554" s="76"/>
      <c r="K1554" s="107"/>
      <c r="L1554" s="99"/>
      <c r="M1554" s="67"/>
    </row>
    <row r="1555" spans="2:13" x14ac:dyDescent="0.35">
      <c r="B1555" s="58"/>
      <c r="C1555" s="59"/>
      <c r="D1555" s="59"/>
      <c r="E1555" s="60"/>
      <c r="F1555" s="61"/>
      <c r="G1555"/>
      <c r="H1555"/>
      <c r="I1555" s="78"/>
      <c r="J1555" s="76"/>
      <c r="K1555" s="107"/>
      <c r="L1555" s="99"/>
      <c r="M1555" s="67"/>
    </row>
    <row r="1556" spans="2:13" x14ac:dyDescent="0.35">
      <c r="B1556" s="58"/>
      <c r="C1556" s="59"/>
      <c r="D1556" s="59"/>
      <c r="E1556" s="60"/>
      <c r="F1556" s="61"/>
      <c r="G1556"/>
      <c r="H1556"/>
      <c r="I1556" s="78"/>
      <c r="J1556" s="62"/>
      <c r="K1556" s="107"/>
      <c r="L1556" s="99"/>
      <c r="M1556" s="124"/>
    </row>
    <row r="1557" spans="2:13" x14ac:dyDescent="0.35">
      <c r="B1557" s="58"/>
      <c r="C1557" s="59"/>
      <c r="D1557" s="59"/>
      <c r="E1557" s="60"/>
      <c r="F1557" s="61"/>
      <c r="G1557"/>
      <c r="H1557"/>
      <c r="I1557" s="78"/>
      <c r="J1557" s="62"/>
      <c r="K1557" s="107"/>
      <c r="L1557" s="99"/>
      <c r="M1557" s="124"/>
    </row>
    <row r="1558" spans="2:13" x14ac:dyDescent="0.35">
      <c r="B1558" s="58"/>
      <c r="C1558" s="59"/>
      <c r="D1558" s="59"/>
      <c r="E1558" s="60"/>
      <c r="F1558" s="61"/>
      <c r="G1558"/>
      <c r="H1558"/>
      <c r="I1558" s="78"/>
      <c r="J1558" s="62"/>
      <c r="K1558" s="107"/>
      <c r="L1558" s="99"/>
      <c r="M1558" s="124"/>
    </row>
    <row r="1559" spans="2:13" x14ac:dyDescent="0.35">
      <c r="B1559" s="58"/>
      <c r="C1559" s="59"/>
      <c r="D1559" s="59"/>
      <c r="E1559" s="60"/>
      <c r="F1559" s="61"/>
      <c r="G1559"/>
      <c r="H1559"/>
      <c r="I1559" s="78"/>
      <c r="J1559" s="62"/>
      <c r="K1559" s="107"/>
      <c r="L1559" s="99"/>
      <c r="M1559" s="124"/>
    </row>
    <row r="1560" spans="2:13" x14ac:dyDescent="0.35">
      <c r="B1560" s="58"/>
      <c r="C1560" s="59"/>
      <c r="D1560" s="59"/>
      <c r="E1560" s="60"/>
      <c r="F1560" s="61"/>
      <c r="G1560"/>
      <c r="H1560"/>
      <c r="I1560" s="78"/>
      <c r="J1560" s="62"/>
      <c r="K1560" s="107"/>
      <c r="L1560" s="99"/>
      <c r="M1560" s="124"/>
    </row>
    <row r="1561" spans="2:13" x14ac:dyDescent="0.35">
      <c r="B1561" s="58"/>
      <c r="C1561" s="59"/>
      <c r="D1561" s="59"/>
      <c r="E1561" s="60"/>
      <c r="F1561" s="61"/>
      <c r="G1561"/>
      <c r="H1561"/>
      <c r="I1561" s="78"/>
      <c r="J1561" s="62"/>
      <c r="K1561" s="107"/>
      <c r="L1561" s="99"/>
      <c r="M1561" s="124"/>
    </row>
    <row r="1562" spans="2:13" x14ac:dyDescent="0.35">
      <c r="B1562" s="58"/>
      <c r="C1562" s="59"/>
      <c r="D1562" s="59"/>
      <c r="E1562" s="60"/>
      <c r="F1562" s="61"/>
      <c r="G1562"/>
      <c r="H1562"/>
      <c r="I1562" s="78"/>
      <c r="J1562" s="62"/>
      <c r="K1562" s="107"/>
      <c r="L1562" s="99"/>
      <c r="M1562" s="124"/>
    </row>
    <row r="1563" spans="2:13" x14ac:dyDescent="0.35">
      <c r="B1563" s="58"/>
      <c r="C1563" s="59"/>
      <c r="D1563" s="59"/>
      <c r="E1563" s="60"/>
      <c r="F1563" s="61"/>
      <c r="G1563"/>
      <c r="H1563"/>
      <c r="I1563" s="78"/>
      <c r="J1563" s="62"/>
      <c r="K1563" s="107"/>
      <c r="L1563" s="99"/>
      <c r="M1563" s="124"/>
    </row>
    <row r="1564" spans="2:13" x14ac:dyDescent="0.35">
      <c r="B1564" s="58"/>
      <c r="C1564" s="59"/>
      <c r="D1564" s="59"/>
      <c r="E1564" s="60"/>
      <c r="F1564" s="61"/>
      <c r="G1564"/>
      <c r="H1564"/>
      <c r="I1564" s="78"/>
      <c r="J1564" s="62"/>
      <c r="K1564" s="107"/>
      <c r="L1564" s="99"/>
      <c r="M1564" s="124"/>
    </row>
    <row r="1565" spans="2:13" x14ac:dyDescent="0.35">
      <c r="B1565" s="58"/>
      <c r="C1565" s="59"/>
      <c r="D1565" s="59"/>
      <c r="E1565" s="60"/>
      <c r="F1565" s="61"/>
      <c r="G1565"/>
      <c r="H1565"/>
      <c r="I1565" s="78"/>
      <c r="J1565" s="62"/>
      <c r="K1565" s="107"/>
      <c r="L1565" s="99"/>
      <c r="M1565" s="124"/>
    </row>
    <row r="1566" spans="2:13" x14ac:dyDescent="0.35">
      <c r="B1566" s="58"/>
      <c r="C1566" s="59"/>
      <c r="D1566" s="59"/>
      <c r="E1566" s="60"/>
      <c r="F1566" s="61"/>
      <c r="G1566"/>
      <c r="H1566"/>
      <c r="I1566" s="78"/>
      <c r="J1566" s="62"/>
      <c r="K1566" s="107"/>
      <c r="L1566" s="99"/>
      <c r="M1566" s="124"/>
    </row>
    <row r="1567" spans="2:13" x14ac:dyDescent="0.35">
      <c r="B1567" s="58"/>
      <c r="C1567" s="59"/>
      <c r="D1567" s="59"/>
      <c r="E1567" s="60"/>
      <c r="F1567" s="61"/>
      <c r="G1567"/>
      <c r="H1567"/>
      <c r="I1567" s="78"/>
      <c r="J1567" s="62"/>
      <c r="K1567" s="107"/>
      <c r="L1567" s="99"/>
      <c r="M1567" s="124"/>
    </row>
    <row r="1568" spans="2:13" x14ac:dyDescent="0.35">
      <c r="B1568" s="58"/>
      <c r="C1568" s="59"/>
      <c r="D1568" s="59"/>
      <c r="E1568" s="60"/>
      <c r="F1568" s="61"/>
      <c r="G1568"/>
      <c r="H1568"/>
      <c r="I1568" s="78"/>
      <c r="J1568" s="62"/>
      <c r="K1568" s="107"/>
      <c r="L1568" s="99"/>
      <c r="M1568" s="124"/>
    </row>
    <row r="1569" spans="2:13" x14ac:dyDescent="0.35">
      <c r="B1569" s="58"/>
      <c r="C1569" s="59"/>
      <c r="D1569" s="59"/>
      <c r="E1569" s="60"/>
      <c r="F1569" s="61"/>
      <c r="G1569"/>
      <c r="H1569"/>
      <c r="I1569" s="78"/>
      <c r="J1569" s="62"/>
      <c r="K1569" s="107"/>
      <c r="L1569" s="99"/>
      <c r="M1569" s="124"/>
    </row>
    <row r="1570" spans="2:13" x14ac:dyDescent="0.35">
      <c r="B1570" s="58"/>
      <c r="C1570" s="59"/>
      <c r="D1570" s="59"/>
      <c r="E1570" s="60"/>
      <c r="F1570" s="61"/>
      <c r="G1570"/>
      <c r="H1570"/>
      <c r="I1570" s="78"/>
      <c r="J1570" s="62"/>
      <c r="K1570" s="107"/>
      <c r="L1570" s="99"/>
      <c r="M1570" s="124"/>
    </row>
    <row r="1571" spans="2:13" x14ac:dyDescent="0.35">
      <c r="B1571" s="58"/>
      <c r="C1571" s="59"/>
      <c r="D1571" s="59"/>
      <c r="E1571" s="60"/>
      <c r="F1571" s="61"/>
      <c r="G1571"/>
      <c r="H1571"/>
      <c r="I1571" s="78"/>
      <c r="J1571" s="62"/>
      <c r="K1571" s="107"/>
      <c r="L1571" s="99"/>
      <c r="M1571" s="124"/>
    </row>
    <row r="1572" spans="2:13" x14ac:dyDescent="0.35">
      <c r="B1572" s="58"/>
      <c r="C1572" s="59"/>
      <c r="D1572" s="59"/>
      <c r="E1572" s="60"/>
      <c r="F1572" s="61"/>
      <c r="G1572"/>
      <c r="H1572"/>
      <c r="I1572" s="78"/>
      <c r="J1572" s="62"/>
      <c r="K1572" s="107"/>
      <c r="L1572" s="99"/>
      <c r="M1572" s="124"/>
    </row>
    <row r="1573" spans="2:13" x14ac:dyDescent="0.35">
      <c r="B1573" s="58"/>
      <c r="C1573" s="59"/>
      <c r="D1573" s="59"/>
      <c r="E1573" s="60"/>
      <c r="F1573" s="61"/>
      <c r="G1573"/>
      <c r="H1573"/>
      <c r="I1573" s="78"/>
      <c r="J1573" s="62"/>
      <c r="K1573" s="107"/>
      <c r="L1573" s="99"/>
      <c r="M1573" s="124"/>
    </row>
    <row r="1574" spans="2:13" x14ac:dyDescent="0.35">
      <c r="B1574" s="58"/>
      <c r="C1574" s="59"/>
      <c r="D1574" s="59"/>
      <c r="E1574" s="60"/>
      <c r="F1574" s="61"/>
      <c r="G1574"/>
      <c r="H1574"/>
      <c r="I1574" s="78"/>
      <c r="J1574" s="62"/>
      <c r="K1574" s="107"/>
      <c r="L1574" s="99"/>
      <c r="M1574" s="124"/>
    </row>
    <row r="1575" spans="2:13" x14ac:dyDescent="0.35">
      <c r="B1575" s="58"/>
      <c r="C1575" s="59"/>
      <c r="D1575" s="59"/>
      <c r="E1575" s="60"/>
      <c r="F1575" s="61"/>
      <c r="G1575"/>
      <c r="H1575"/>
      <c r="I1575" s="78"/>
      <c r="J1575" s="62"/>
      <c r="K1575" s="107"/>
      <c r="L1575" s="99"/>
      <c r="M1575" s="124"/>
    </row>
    <row r="1576" spans="2:13" x14ac:dyDescent="0.35">
      <c r="B1576" s="58"/>
      <c r="C1576" s="59"/>
      <c r="D1576" s="59"/>
      <c r="E1576" s="60"/>
      <c r="F1576" s="61"/>
      <c r="G1576"/>
      <c r="H1576"/>
      <c r="I1576" s="78"/>
      <c r="J1576" s="62"/>
      <c r="K1576" s="107"/>
      <c r="L1576" s="99"/>
      <c r="M1576" s="124"/>
    </row>
    <row r="1577" spans="2:13" x14ac:dyDescent="0.35">
      <c r="B1577" s="58"/>
      <c r="C1577" s="59"/>
      <c r="D1577" s="59"/>
      <c r="E1577" s="60"/>
      <c r="F1577" s="61"/>
      <c r="G1577"/>
      <c r="H1577"/>
      <c r="I1577" s="78"/>
      <c r="J1577" s="62"/>
      <c r="K1577" s="107"/>
      <c r="L1577" s="99"/>
      <c r="M1577" s="124"/>
    </row>
    <row r="1578" spans="2:13" x14ac:dyDescent="0.35">
      <c r="B1578" s="58"/>
      <c r="C1578" s="59"/>
      <c r="D1578" s="59"/>
      <c r="E1578" s="60"/>
      <c r="F1578" s="61"/>
      <c r="G1578"/>
      <c r="H1578"/>
      <c r="I1578" s="78"/>
      <c r="J1578" s="62"/>
      <c r="K1578" s="107"/>
      <c r="L1578" s="99"/>
      <c r="M1578" s="124"/>
    </row>
    <row r="1579" spans="2:13" x14ac:dyDescent="0.35">
      <c r="B1579" s="58"/>
      <c r="C1579" s="59"/>
      <c r="D1579" s="59"/>
      <c r="E1579" s="60"/>
      <c r="F1579" s="61"/>
      <c r="G1579"/>
      <c r="H1579"/>
      <c r="I1579" s="78"/>
      <c r="J1579" s="62"/>
      <c r="K1579" s="107"/>
      <c r="L1579" s="99"/>
      <c r="M1579" s="124"/>
    </row>
    <row r="1580" spans="2:13" x14ac:dyDescent="0.35">
      <c r="B1580" s="58"/>
      <c r="C1580" s="59"/>
      <c r="D1580" s="59"/>
      <c r="E1580" s="60"/>
      <c r="F1580" s="61"/>
      <c r="G1580"/>
      <c r="H1580"/>
      <c r="I1580" s="78"/>
      <c r="J1580" s="62"/>
      <c r="K1580" s="107"/>
      <c r="L1580" s="99"/>
      <c r="M1580" s="124"/>
    </row>
    <row r="1581" spans="2:13" x14ac:dyDescent="0.35">
      <c r="B1581" s="58"/>
      <c r="C1581" s="59"/>
      <c r="D1581" s="59"/>
      <c r="E1581" s="60"/>
      <c r="F1581" s="61"/>
      <c r="G1581"/>
      <c r="H1581"/>
      <c r="I1581" s="78"/>
      <c r="J1581" s="62"/>
      <c r="K1581" s="107"/>
      <c r="L1581" s="99"/>
      <c r="M1581" s="124"/>
    </row>
    <row r="1582" spans="2:13" x14ac:dyDescent="0.35">
      <c r="B1582" s="58"/>
      <c r="C1582" s="59"/>
      <c r="D1582" s="59"/>
      <c r="E1582" s="60"/>
      <c r="F1582" s="61"/>
      <c r="G1582"/>
      <c r="H1582"/>
      <c r="I1582" s="78"/>
      <c r="J1582" s="62"/>
      <c r="K1582" s="107"/>
      <c r="L1582" s="99"/>
      <c r="M1582" s="124"/>
    </row>
    <row r="1583" spans="2:13" x14ac:dyDescent="0.35">
      <c r="B1583" s="58"/>
      <c r="C1583" s="59"/>
      <c r="D1583" s="59"/>
      <c r="E1583" s="60"/>
      <c r="F1583" s="61"/>
      <c r="G1583"/>
      <c r="H1583"/>
      <c r="I1583" s="78"/>
      <c r="J1583" s="62"/>
      <c r="K1583" s="107"/>
      <c r="L1583" s="99"/>
      <c r="M1583" s="124"/>
    </row>
    <row r="1584" spans="2:13" x14ac:dyDescent="0.35">
      <c r="B1584" s="58"/>
      <c r="C1584" s="59"/>
      <c r="D1584" s="59"/>
      <c r="E1584" s="60"/>
      <c r="F1584" s="61"/>
      <c r="G1584"/>
      <c r="H1584"/>
      <c r="I1584" s="78"/>
      <c r="J1584" s="62"/>
      <c r="K1584" s="107"/>
      <c r="L1584" s="99"/>
      <c r="M1584" s="124"/>
    </row>
    <row r="1585" spans="2:13" x14ac:dyDescent="0.35">
      <c r="B1585" s="58"/>
      <c r="C1585" s="59"/>
      <c r="D1585" s="59"/>
      <c r="E1585" s="60"/>
      <c r="F1585" s="61"/>
      <c r="G1585"/>
      <c r="H1585"/>
      <c r="I1585" s="78"/>
      <c r="J1585" s="62"/>
      <c r="K1585" s="107"/>
      <c r="L1585" s="99"/>
      <c r="M1585" s="124"/>
    </row>
    <row r="1586" spans="2:13" x14ac:dyDescent="0.35">
      <c r="B1586" s="58"/>
      <c r="C1586" s="59"/>
      <c r="D1586" s="59"/>
      <c r="E1586" s="60"/>
      <c r="F1586" s="61"/>
      <c r="G1586"/>
      <c r="H1586"/>
      <c r="I1586" s="78"/>
      <c r="J1586" s="62"/>
      <c r="K1586" s="107"/>
      <c r="L1586" s="99"/>
      <c r="M1586" s="124"/>
    </row>
    <row r="1587" spans="2:13" x14ac:dyDescent="0.35">
      <c r="B1587" s="58"/>
      <c r="C1587" s="59"/>
      <c r="D1587" s="59"/>
      <c r="E1587" s="60"/>
      <c r="F1587" s="61"/>
      <c r="G1587"/>
      <c r="H1587"/>
      <c r="I1587" s="78"/>
      <c r="J1587" s="62"/>
      <c r="K1587" s="107"/>
      <c r="L1587" s="99"/>
      <c r="M1587" s="124"/>
    </row>
    <row r="1588" spans="2:13" x14ac:dyDescent="0.35">
      <c r="B1588" s="58"/>
      <c r="C1588" s="59"/>
      <c r="D1588" s="59"/>
      <c r="E1588" s="60"/>
      <c r="F1588" s="61"/>
      <c r="G1588"/>
      <c r="H1588"/>
      <c r="I1588" s="78"/>
      <c r="J1588" s="62"/>
      <c r="K1588" s="107"/>
      <c r="L1588" s="99"/>
      <c r="M1588" s="124"/>
    </row>
    <row r="1589" spans="2:13" x14ac:dyDescent="0.35">
      <c r="B1589" s="58"/>
      <c r="C1589" s="59"/>
      <c r="D1589" s="59"/>
      <c r="E1589" s="60"/>
      <c r="F1589" s="61"/>
      <c r="G1589"/>
      <c r="H1589"/>
      <c r="I1589" s="78"/>
      <c r="J1589" s="62"/>
      <c r="K1589" s="107"/>
      <c r="L1589" s="99"/>
      <c r="M1589" s="124"/>
    </row>
    <row r="1590" spans="2:13" x14ac:dyDescent="0.35">
      <c r="B1590" s="58"/>
      <c r="C1590" s="59"/>
      <c r="D1590" s="59"/>
      <c r="E1590" s="60"/>
      <c r="F1590" s="61"/>
      <c r="G1590"/>
      <c r="H1590"/>
      <c r="I1590" s="78"/>
      <c r="J1590" s="62"/>
      <c r="K1590" s="107"/>
      <c r="L1590" s="99"/>
      <c r="M1590" s="124"/>
    </row>
    <row r="1591" spans="2:13" x14ac:dyDescent="0.35">
      <c r="B1591" s="58"/>
      <c r="C1591" s="59"/>
      <c r="D1591" s="59"/>
      <c r="E1591" s="60"/>
      <c r="F1591" s="61"/>
      <c r="G1591"/>
      <c r="H1591"/>
      <c r="I1591" s="78"/>
      <c r="J1591" s="62"/>
      <c r="K1591" s="107"/>
      <c r="L1591" s="99"/>
      <c r="M1591" s="124"/>
    </row>
    <row r="1592" spans="2:13" x14ac:dyDescent="0.35">
      <c r="B1592" s="58"/>
      <c r="C1592" s="59"/>
      <c r="D1592" s="59"/>
      <c r="E1592" s="60"/>
      <c r="F1592" s="61"/>
      <c r="G1592"/>
      <c r="H1592"/>
      <c r="I1592" s="78"/>
      <c r="J1592" s="62"/>
      <c r="K1592" s="107"/>
      <c r="L1592" s="99"/>
      <c r="M1592" s="124"/>
    </row>
    <row r="1593" spans="2:13" x14ac:dyDescent="0.35">
      <c r="B1593" s="58"/>
      <c r="C1593" s="59"/>
      <c r="D1593" s="59"/>
      <c r="E1593" s="60"/>
      <c r="F1593" s="61"/>
      <c r="G1593"/>
      <c r="H1593"/>
      <c r="I1593" s="78"/>
      <c r="J1593" s="62"/>
      <c r="K1593" s="107"/>
      <c r="L1593" s="99"/>
      <c r="M1593" s="124"/>
    </row>
    <row r="1594" spans="2:13" x14ac:dyDescent="0.35">
      <c r="B1594" s="58"/>
      <c r="C1594" s="59"/>
      <c r="D1594" s="59"/>
      <c r="E1594" s="60"/>
      <c r="F1594" s="61"/>
      <c r="G1594"/>
      <c r="H1594"/>
      <c r="I1594" s="78"/>
      <c r="J1594" s="62"/>
      <c r="K1594" s="107"/>
      <c r="L1594" s="99"/>
      <c r="M1594" s="124"/>
    </row>
    <row r="1595" spans="2:13" x14ac:dyDescent="0.35">
      <c r="B1595" s="58"/>
      <c r="C1595" s="59"/>
      <c r="D1595" s="59"/>
      <c r="E1595" s="60"/>
      <c r="F1595" s="61"/>
      <c r="G1595"/>
      <c r="H1595"/>
      <c r="I1595" s="78"/>
      <c r="J1595" s="62"/>
      <c r="K1595" s="107"/>
      <c r="L1595" s="99"/>
      <c r="M1595" s="124"/>
    </row>
    <row r="1596" spans="2:13" x14ac:dyDescent="0.35">
      <c r="B1596" s="58"/>
      <c r="C1596" s="59"/>
      <c r="D1596" s="59"/>
      <c r="E1596" s="60"/>
      <c r="F1596" s="61"/>
      <c r="G1596"/>
      <c r="H1596"/>
      <c r="I1596" s="78"/>
      <c r="J1596" s="62"/>
      <c r="K1596" s="107"/>
      <c r="L1596" s="99"/>
      <c r="M1596" s="124"/>
    </row>
    <row r="1597" spans="2:13" x14ac:dyDescent="0.35">
      <c r="B1597" s="58"/>
      <c r="C1597" s="59"/>
      <c r="D1597" s="59"/>
      <c r="E1597" s="60"/>
      <c r="F1597" s="61"/>
      <c r="G1597"/>
      <c r="H1597"/>
      <c r="I1597" s="78"/>
      <c r="J1597" s="62"/>
      <c r="K1597" s="107"/>
      <c r="L1597" s="99"/>
      <c r="M1597" s="124"/>
    </row>
    <row r="1598" spans="2:13" x14ac:dyDescent="0.35">
      <c r="B1598" s="58"/>
      <c r="C1598" s="59"/>
      <c r="D1598" s="59"/>
      <c r="E1598" s="60"/>
      <c r="F1598" s="61"/>
      <c r="G1598"/>
      <c r="H1598"/>
      <c r="I1598" s="78"/>
      <c r="J1598" s="62"/>
      <c r="K1598" s="107"/>
      <c r="L1598" s="99"/>
      <c r="M1598" s="124"/>
    </row>
    <row r="1599" spans="2:13" x14ac:dyDescent="0.35">
      <c r="B1599" s="58"/>
      <c r="C1599" s="59"/>
      <c r="D1599" s="59"/>
      <c r="E1599" s="60"/>
      <c r="F1599" s="61"/>
      <c r="G1599"/>
      <c r="H1599"/>
      <c r="I1599" s="78"/>
      <c r="J1599" s="62"/>
      <c r="K1599" s="107"/>
      <c r="L1599" s="99"/>
      <c r="M1599" s="124"/>
    </row>
    <row r="1600" spans="2:13" x14ac:dyDescent="0.35">
      <c r="B1600" s="58"/>
      <c r="C1600" s="59"/>
      <c r="D1600" s="59"/>
      <c r="E1600" s="60"/>
      <c r="F1600" s="61"/>
      <c r="G1600"/>
      <c r="H1600"/>
      <c r="I1600" s="78"/>
      <c r="J1600" s="62"/>
      <c r="K1600" s="107"/>
      <c r="L1600" s="99"/>
      <c r="M1600" s="124"/>
    </row>
    <row r="1601" spans="2:13" x14ac:dyDescent="0.35">
      <c r="B1601" s="58"/>
      <c r="C1601" s="59"/>
      <c r="D1601" s="59"/>
      <c r="E1601" s="60"/>
      <c r="F1601" s="61"/>
      <c r="G1601"/>
      <c r="H1601"/>
      <c r="I1601" s="78"/>
      <c r="J1601" s="62"/>
      <c r="K1601" s="107"/>
      <c r="L1601" s="99"/>
      <c r="M1601" s="124"/>
    </row>
    <row r="1602" spans="2:13" x14ac:dyDescent="0.35">
      <c r="B1602" s="58"/>
      <c r="C1602" s="59"/>
      <c r="D1602" s="59"/>
      <c r="E1602" s="60"/>
      <c r="F1602" s="61"/>
      <c r="G1602"/>
      <c r="H1602"/>
      <c r="I1602" s="78"/>
      <c r="J1602" s="62"/>
      <c r="K1602" s="107"/>
      <c r="L1602" s="99"/>
      <c r="M1602" s="124"/>
    </row>
    <row r="1603" spans="2:13" x14ac:dyDescent="0.35">
      <c r="B1603" s="58"/>
      <c r="C1603" s="59"/>
      <c r="D1603" s="59"/>
      <c r="E1603" s="60"/>
      <c r="F1603" s="61"/>
      <c r="G1603"/>
      <c r="H1603"/>
      <c r="I1603" s="78"/>
      <c r="J1603" s="62"/>
      <c r="K1603" s="107"/>
      <c r="L1603" s="99"/>
      <c r="M1603" s="124"/>
    </row>
    <row r="1604" spans="2:13" x14ac:dyDescent="0.35">
      <c r="B1604" s="58"/>
      <c r="C1604" s="59"/>
      <c r="D1604" s="59"/>
      <c r="E1604" s="60"/>
      <c r="F1604" s="61"/>
      <c r="G1604"/>
      <c r="H1604"/>
      <c r="I1604" s="78"/>
      <c r="J1604" s="62"/>
      <c r="K1604" s="107"/>
      <c r="L1604" s="99"/>
      <c r="M1604" s="124"/>
    </row>
    <row r="1605" spans="2:13" x14ac:dyDescent="0.35">
      <c r="B1605" s="58"/>
      <c r="C1605" s="59"/>
      <c r="D1605" s="59"/>
      <c r="E1605" s="60"/>
      <c r="F1605" s="61"/>
      <c r="G1605"/>
      <c r="H1605"/>
      <c r="I1605" s="78"/>
      <c r="J1605" s="62"/>
      <c r="K1605" s="107"/>
      <c r="L1605" s="99"/>
      <c r="M1605" s="124"/>
    </row>
    <row r="1606" spans="2:13" x14ac:dyDescent="0.35">
      <c r="B1606" s="58"/>
      <c r="C1606" s="59"/>
      <c r="D1606" s="59"/>
      <c r="E1606" s="60"/>
      <c r="F1606" s="61"/>
      <c r="G1606"/>
      <c r="H1606"/>
      <c r="I1606" s="78"/>
      <c r="J1606" s="62"/>
      <c r="K1606" s="107"/>
      <c r="L1606" s="99"/>
      <c r="M1606" s="124"/>
    </row>
    <row r="1607" spans="2:13" x14ac:dyDescent="0.35">
      <c r="B1607" s="58"/>
      <c r="C1607" s="59"/>
      <c r="D1607" s="59"/>
      <c r="E1607" s="60"/>
      <c r="F1607" s="61"/>
      <c r="G1607"/>
      <c r="H1607"/>
      <c r="I1607" s="78"/>
      <c r="J1607" s="62"/>
      <c r="K1607" s="107"/>
      <c r="L1607" s="99"/>
      <c r="M1607" s="124"/>
    </row>
    <row r="1608" spans="2:13" x14ac:dyDescent="0.35">
      <c r="B1608" s="58"/>
      <c r="C1608" s="59"/>
      <c r="D1608" s="59"/>
      <c r="E1608" s="60"/>
      <c r="F1608" s="61"/>
      <c r="G1608"/>
      <c r="H1608"/>
      <c r="I1608" s="78"/>
      <c r="J1608" s="62"/>
      <c r="K1608" s="107"/>
      <c r="L1608" s="99"/>
      <c r="M1608" s="124"/>
    </row>
    <row r="1609" spans="2:13" x14ac:dyDescent="0.35">
      <c r="B1609" s="58"/>
      <c r="C1609" s="59"/>
      <c r="D1609" s="59"/>
      <c r="E1609" s="60"/>
      <c r="F1609" s="61"/>
      <c r="G1609"/>
      <c r="H1609"/>
      <c r="I1609" s="78"/>
      <c r="J1609" s="62"/>
      <c r="K1609" s="107"/>
      <c r="L1609" s="99"/>
      <c r="M1609" s="124"/>
    </row>
    <row r="1610" spans="2:13" x14ac:dyDescent="0.35">
      <c r="B1610" s="58"/>
      <c r="C1610" s="59"/>
      <c r="D1610" s="59"/>
      <c r="E1610" s="60"/>
      <c r="F1610" s="61"/>
      <c r="G1610"/>
      <c r="H1610"/>
      <c r="I1610" s="78"/>
      <c r="J1610" s="62"/>
      <c r="K1610" s="107"/>
      <c r="L1610" s="99"/>
      <c r="M1610" s="124"/>
    </row>
    <row r="1611" spans="2:13" x14ac:dyDescent="0.35">
      <c r="B1611" s="58"/>
      <c r="C1611" s="59"/>
      <c r="D1611" s="59"/>
      <c r="E1611" s="60"/>
      <c r="F1611" s="61"/>
      <c r="G1611"/>
      <c r="H1611"/>
      <c r="I1611" s="78"/>
      <c r="J1611" s="62"/>
      <c r="K1611" s="107"/>
      <c r="L1611" s="99"/>
      <c r="M1611" s="124"/>
    </row>
    <row r="1612" spans="2:13" x14ac:dyDescent="0.35">
      <c r="B1612" s="58"/>
      <c r="C1612" s="59"/>
      <c r="D1612" s="59"/>
      <c r="E1612" s="60"/>
      <c r="F1612" s="61"/>
      <c r="G1612"/>
      <c r="H1612"/>
      <c r="I1612" s="78"/>
      <c r="J1612" s="62"/>
      <c r="K1612" s="107"/>
      <c r="L1612" s="99"/>
      <c r="M1612" s="124"/>
    </row>
    <row r="1613" spans="2:13" x14ac:dyDescent="0.35">
      <c r="B1613" s="58"/>
      <c r="C1613" s="59"/>
      <c r="D1613" s="59"/>
      <c r="E1613" s="60"/>
      <c r="F1613" s="61"/>
      <c r="G1613"/>
      <c r="H1613"/>
      <c r="I1613" s="78"/>
      <c r="J1613" s="62"/>
      <c r="K1613" s="107"/>
      <c r="L1613" s="99"/>
      <c r="M1613" s="124"/>
    </row>
    <row r="1614" spans="2:13" x14ac:dyDescent="0.35">
      <c r="B1614" s="58"/>
      <c r="C1614" s="59"/>
      <c r="D1614" s="59"/>
      <c r="E1614" s="60"/>
      <c r="F1614" s="61"/>
      <c r="G1614"/>
      <c r="H1614"/>
      <c r="I1614" s="78"/>
      <c r="J1614" s="62"/>
      <c r="K1614" s="107"/>
      <c r="L1614" s="99"/>
      <c r="M1614" s="124"/>
    </row>
    <row r="1615" spans="2:13" x14ac:dyDescent="0.35">
      <c r="B1615" s="58"/>
      <c r="C1615" s="59"/>
      <c r="D1615" s="59"/>
      <c r="E1615" s="60"/>
      <c r="F1615" s="61"/>
      <c r="G1615"/>
      <c r="H1615"/>
      <c r="I1615" s="78"/>
      <c r="J1615" s="62"/>
      <c r="K1615" s="107"/>
      <c r="L1615" s="99"/>
      <c r="M1615" s="124"/>
    </row>
    <row r="1616" spans="2:13" x14ac:dyDescent="0.35">
      <c r="B1616" s="58"/>
      <c r="C1616" s="59"/>
      <c r="D1616" s="59"/>
      <c r="E1616" s="60"/>
      <c r="F1616" s="61"/>
      <c r="G1616"/>
      <c r="H1616"/>
      <c r="I1616" s="78"/>
      <c r="J1616" s="62"/>
      <c r="K1616" s="107"/>
      <c r="L1616" s="99"/>
      <c r="M1616" s="124"/>
    </row>
    <row r="1617" spans="2:13" x14ac:dyDescent="0.35">
      <c r="B1617" s="58"/>
      <c r="C1617" s="59"/>
      <c r="D1617" s="59"/>
      <c r="E1617" s="60"/>
      <c r="F1617" s="61"/>
      <c r="G1617"/>
      <c r="H1617"/>
      <c r="I1617" s="78"/>
      <c r="J1617" s="62"/>
      <c r="K1617" s="107"/>
      <c r="L1617" s="99"/>
      <c r="M1617" s="124"/>
    </row>
    <row r="1618" spans="2:13" x14ac:dyDescent="0.35">
      <c r="B1618" s="58"/>
      <c r="C1618" s="59"/>
      <c r="D1618" s="59"/>
      <c r="E1618" s="60"/>
      <c r="F1618" s="61"/>
      <c r="G1618"/>
      <c r="H1618"/>
      <c r="I1618" s="78"/>
      <c r="J1618" s="62"/>
      <c r="K1618" s="107"/>
      <c r="L1618" s="99"/>
      <c r="M1618" s="124"/>
    </row>
    <row r="1619" spans="2:13" x14ac:dyDescent="0.35">
      <c r="B1619" s="58"/>
      <c r="C1619" s="59"/>
      <c r="D1619" s="59"/>
      <c r="E1619" s="60"/>
      <c r="F1619" s="61"/>
      <c r="G1619"/>
      <c r="H1619"/>
      <c r="I1619" s="78"/>
      <c r="J1619" s="62"/>
      <c r="K1619" s="107"/>
      <c r="L1619" s="99"/>
      <c r="M1619" s="124"/>
    </row>
    <row r="1620" spans="2:13" x14ac:dyDescent="0.35">
      <c r="B1620" s="58"/>
      <c r="C1620" s="59"/>
      <c r="D1620" s="59"/>
      <c r="E1620" s="60"/>
      <c r="F1620" s="61"/>
      <c r="G1620"/>
      <c r="H1620"/>
      <c r="I1620" s="78"/>
      <c r="J1620" s="62"/>
      <c r="K1620" s="107"/>
      <c r="L1620" s="99"/>
      <c r="M1620" s="124"/>
    </row>
    <row r="1621" spans="2:13" x14ac:dyDescent="0.35">
      <c r="B1621" s="58"/>
      <c r="C1621" s="59"/>
      <c r="D1621" s="59"/>
      <c r="E1621" s="60"/>
      <c r="F1621" s="61"/>
      <c r="G1621"/>
      <c r="H1621"/>
      <c r="I1621" s="78"/>
      <c r="J1621" s="62"/>
      <c r="K1621" s="107"/>
      <c r="L1621" s="99"/>
      <c r="M1621" s="124"/>
    </row>
    <row r="1622" spans="2:13" x14ac:dyDescent="0.35">
      <c r="B1622" s="58"/>
      <c r="C1622" s="59"/>
      <c r="D1622" s="59"/>
      <c r="E1622" s="60"/>
      <c r="F1622" s="61"/>
      <c r="G1622"/>
      <c r="H1622"/>
      <c r="I1622" s="78"/>
      <c r="J1622" s="62"/>
      <c r="K1622" s="107"/>
      <c r="L1622" s="99"/>
      <c r="M1622" s="124"/>
    </row>
    <row r="1623" spans="2:13" x14ac:dyDescent="0.35">
      <c r="B1623" s="58"/>
      <c r="C1623" s="59"/>
      <c r="D1623" s="59"/>
      <c r="E1623" s="60"/>
      <c r="F1623" s="61"/>
      <c r="G1623"/>
      <c r="H1623"/>
      <c r="I1623" s="78"/>
      <c r="J1623" s="62"/>
      <c r="K1623" s="107"/>
      <c r="L1623" s="99"/>
      <c r="M1623" s="124"/>
    </row>
    <row r="1624" spans="2:13" x14ac:dyDescent="0.35">
      <c r="B1624" s="58"/>
      <c r="C1624" s="59"/>
      <c r="D1624" s="59"/>
      <c r="E1624" s="60"/>
      <c r="F1624" s="61"/>
      <c r="G1624"/>
      <c r="H1624"/>
      <c r="I1624" s="78"/>
      <c r="J1624" s="62"/>
      <c r="K1624" s="107"/>
      <c r="L1624" s="99"/>
      <c r="M1624" s="124"/>
    </row>
    <row r="1625" spans="2:13" x14ac:dyDescent="0.35">
      <c r="B1625" s="58"/>
      <c r="C1625" s="59"/>
      <c r="D1625" s="59"/>
      <c r="E1625" s="60"/>
      <c r="F1625" s="61"/>
      <c r="G1625"/>
      <c r="H1625"/>
      <c r="I1625" s="78"/>
      <c r="J1625" s="62"/>
      <c r="K1625" s="107"/>
      <c r="L1625" s="99"/>
      <c r="M1625" s="124"/>
    </row>
    <row r="1626" spans="2:13" x14ac:dyDescent="0.35">
      <c r="B1626" s="58"/>
      <c r="C1626" s="59"/>
      <c r="D1626" s="59"/>
      <c r="E1626" s="60"/>
      <c r="F1626" s="61"/>
      <c r="G1626"/>
      <c r="H1626"/>
      <c r="I1626" s="78"/>
      <c r="J1626" s="62"/>
      <c r="K1626" s="107"/>
      <c r="L1626" s="99"/>
      <c r="M1626" s="124"/>
    </row>
    <row r="1627" spans="2:13" x14ac:dyDescent="0.35">
      <c r="B1627" s="58"/>
      <c r="C1627" s="59"/>
      <c r="D1627" s="59"/>
      <c r="E1627" s="60"/>
      <c r="F1627" s="61"/>
      <c r="G1627"/>
      <c r="H1627"/>
      <c r="I1627" s="78"/>
      <c r="J1627" s="62"/>
      <c r="K1627" s="107"/>
      <c r="L1627" s="99"/>
      <c r="M1627" s="124"/>
    </row>
    <row r="1628" spans="2:13" x14ac:dyDescent="0.35">
      <c r="B1628" s="58"/>
      <c r="C1628" s="59"/>
      <c r="D1628" s="59"/>
      <c r="E1628" s="60"/>
      <c r="F1628" s="61"/>
      <c r="G1628"/>
      <c r="H1628"/>
      <c r="I1628" s="78"/>
      <c r="J1628" s="62"/>
      <c r="K1628" s="107"/>
      <c r="L1628" s="99"/>
      <c r="M1628" s="124"/>
    </row>
    <row r="1629" spans="2:13" x14ac:dyDescent="0.35">
      <c r="B1629" s="58"/>
      <c r="C1629" s="59"/>
      <c r="D1629" s="59"/>
      <c r="E1629" s="60"/>
      <c r="F1629" s="61"/>
      <c r="G1629"/>
      <c r="H1629"/>
      <c r="I1629" s="78"/>
      <c r="J1629" s="62"/>
      <c r="K1629" s="107"/>
      <c r="L1629" s="99"/>
      <c r="M1629" s="124"/>
    </row>
    <row r="1630" spans="2:13" x14ac:dyDescent="0.35">
      <c r="B1630" s="58"/>
      <c r="C1630" s="59"/>
      <c r="D1630" s="59"/>
      <c r="E1630" s="60"/>
      <c r="F1630" s="61"/>
      <c r="G1630"/>
      <c r="H1630"/>
      <c r="I1630" s="78"/>
      <c r="J1630" s="62"/>
      <c r="K1630" s="107"/>
      <c r="L1630" s="99"/>
      <c r="M1630" s="124"/>
    </row>
    <row r="1631" spans="2:13" x14ac:dyDescent="0.35">
      <c r="B1631" s="58"/>
      <c r="C1631" s="59"/>
      <c r="D1631" s="59"/>
      <c r="E1631" s="60"/>
      <c r="F1631" s="61"/>
      <c r="G1631"/>
      <c r="H1631"/>
      <c r="I1631" s="78"/>
      <c r="J1631" s="62"/>
      <c r="K1631" s="107"/>
      <c r="L1631" s="99"/>
      <c r="M1631" s="124"/>
    </row>
    <row r="1632" spans="2:13" x14ac:dyDescent="0.35">
      <c r="B1632" s="58"/>
      <c r="C1632" s="59"/>
      <c r="D1632" s="59"/>
      <c r="E1632" s="60"/>
      <c r="F1632" s="61"/>
      <c r="G1632"/>
      <c r="H1632"/>
      <c r="I1632" s="78"/>
      <c r="J1632" s="62"/>
      <c r="K1632" s="107"/>
      <c r="L1632" s="99"/>
      <c r="M1632" s="124"/>
    </row>
    <row r="1633" spans="2:13" x14ac:dyDescent="0.35">
      <c r="B1633" s="58"/>
      <c r="C1633" s="59"/>
      <c r="D1633" s="59"/>
      <c r="E1633" s="60"/>
      <c r="F1633" s="61"/>
      <c r="G1633"/>
      <c r="H1633"/>
      <c r="I1633" s="78"/>
      <c r="J1633" s="62"/>
      <c r="K1633" s="107"/>
      <c r="L1633" s="99"/>
      <c r="M1633" s="124"/>
    </row>
    <row r="1634" spans="2:13" x14ac:dyDescent="0.35">
      <c r="B1634" s="58"/>
      <c r="C1634" s="59"/>
      <c r="D1634" s="59"/>
      <c r="E1634" s="60"/>
      <c r="F1634" s="61"/>
      <c r="G1634"/>
      <c r="H1634"/>
      <c r="I1634" s="78"/>
      <c r="J1634" s="62"/>
      <c r="K1634" s="107"/>
      <c r="L1634" s="99"/>
      <c r="M1634" s="124"/>
    </row>
    <row r="1635" spans="2:13" x14ac:dyDescent="0.35">
      <c r="B1635" s="58"/>
      <c r="C1635" s="59"/>
      <c r="D1635" s="59"/>
      <c r="E1635" s="60"/>
      <c r="F1635" s="61"/>
      <c r="G1635"/>
      <c r="H1635"/>
      <c r="I1635" s="78"/>
      <c r="J1635" s="62"/>
      <c r="K1635" s="107"/>
      <c r="L1635" s="99"/>
      <c r="M1635" s="124"/>
    </row>
    <row r="1636" spans="2:13" x14ac:dyDescent="0.35">
      <c r="B1636" s="58"/>
      <c r="C1636" s="59"/>
      <c r="D1636" s="59"/>
      <c r="E1636" s="60"/>
      <c r="F1636" s="61"/>
      <c r="G1636"/>
      <c r="H1636"/>
      <c r="I1636" s="78"/>
      <c r="J1636" s="62"/>
      <c r="K1636" s="107"/>
      <c r="L1636" s="99"/>
      <c r="M1636" s="124"/>
    </row>
    <row r="1637" spans="2:13" x14ac:dyDescent="0.35">
      <c r="B1637" s="58"/>
      <c r="C1637" s="59"/>
      <c r="D1637" s="59"/>
      <c r="E1637" s="60"/>
      <c r="F1637" s="61"/>
      <c r="G1637"/>
      <c r="H1637"/>
      <c r="I1637" s="78"/>
      <c r="J1637" s="62"/>
      <c r="K1637" s="107"/>
      <c r="L1637" s="99"/>
      <c r="M1637" s="124"/>
    </row>
    <row r="1638" spans="2:13" x14ac:dyDescent="0.35">
      <c r="B1638" s="58"/>
      <c r="C1638" s="59"/>
      <c r="D1638" s="59"/>
      <c r="E1638" s="60"/>
      <c r="F1638" s="61"/>
      <c r="G1638"/>
      <c r="H1638"/>
      <c r="I1638" s="78"/>
      <c r="J1638" s="62"/>
      <c r="K1638" s="107"/>
      <c r="L1638" s="99"/>
      <c r="M1638" s="124"/>
    </row>
    <row r="1639" spans="2:13" x14ac:dyDescent="0.35">
      <c r="B1639" s="58"/>
      <c r="C1639" s="59"/>
      <c r="D1639" s="59"/>
      <c r="E1639" s="60"/>
      <c r="F1639" s="61"/>
      <c r="G1639"/>
      <c r="H1639"/>
      <c r="I1639" s="78"/>
      <c r="J1639" s="62"/>
      <c r="K1639" s="107"/>
      <c r="L1639" s="99"/>
      <c r="M1639" s="124"/>
    </row>
    <row r="1640" spans="2:13" x14ac:dyDescent="0.35">
      <c r="B1640" s="58"/>
      <c r="C1640" s="59"/>
      <c r="D1640" s="59"/>
      <c r="E1640" s="60"/>
      <c r="F1640" s="61"/>
      <c r="G1640"/>
      <c r="H1640"/>
      <c r="I1640" s="78"/>
      <c r="J1640" s="62"/>
      <c r="K1640" s="107"/>
      <c r="L1640" s="99"/>
      <c r="M1640" s="124"/>
    </row>
    <row r="1641" spans="2:13" x14ac:dyDescent="0.35">
      <c r="B1641" s="58"/>
      <c r="C1641" s="59"/>
      <c r="D1641" s="59"/>
      <c r="E1641" s="60"/>
      <c r="F1641" s="61"/>
      <c r="G1641"/>
      <c r="H1641"/>
      <c r="I1641" s="78"/>
      <c r="J1641" s="62"/>
      <c r="K1641" s="107"/>
      <c r="L1641" s="99"/>
      <c r="M1641" s="124"/>
    </row>
    <row r="1642" spans="2:13" x14ac:dyDescent="0.35">
      <c r="B1642" s="58"/>
      <c r="C1642" s="59"/>
      <c r="D1642" s="59"/>
      <c r="E1642" s="60"/>
      <c r="F1642" s="61"/>
      <c r="G1642"/>
      <c r="H1642"/>
      <c r="I1642" s="78"/>
      <c r="J1642" s="62"/>
      <c r="K1642" s="107"/>
      <c r="L1642" s="99"/>
      <c r="M1642" s="124"/>
    </row>
    <row r="1643" spans="2:13" x14ac:dyDescent="0.35">
      <c r="B1643" s="58"/>
      <c r="C1643" s="59"/>
      <c r="D1643" s="59"/>
      <c r="E1643" s="60"/>
      <c r="F1643" s="61"/>
      <c r="G1643"/>
      <c r="H1643"/>
      <c r="I1643" s="78"/>
      <c r="J1643" s="62"/>
      <c r="K1643" s="107"/>
      <c r="L1643" s="99"/>
      <c r="M1643" s="124"/>
    </row>
    <row r="1644" spans="2:13" x14ac:dyDescent="0.35">
      <c r="B1644" s="58"/>
      <c r="C1644" s="59"/>
      <c r="D1644" s="59"/>
      <c r="E1644" s="60"/>
      <c r="F1644" s="61"/>
      <c r="G1644"/>
      <c r="H1644"/>
      <c r="I1644" s="78"/>
      <c r="J1644" s="62"/>
      <c r="K1644" s="107"/>
      <c r="L1644" s="99"/>
      <c r="M1644" s="124"/>
    </row>
    <row r="1645" spans="2:13" x14ac:dyDescent="0.35">
      <c r="B1645" s="58"/>
      <c r="C1645" s="59"/>
      <c r="D1645" s="59"/>
      <c r="E1645" s="60"/>
      <c r="F1645" s="61"/>
      <c r="G1645"/>
      <c r="H1645"/>
      <c r="I1645" s="78"/>
      <c r="J1645" s="62"/>
      <c r="K1645" s="107"/>
      <c r="L1645" s="99"/>
      <c r="M1645" s="124"/>
    </row>
    <row r="1646" spans="2:13" x14ac:dyDescent="0.35">
      <c r="B1646" s="58"/>
      <c r="C1646" s="59"/>
      <c r="D1646" s="59"/>
      <c r="E1646" s="60"/>
      <c r="F1646" s="61"/>
      <c r="G1646"/>
      <c r="H1646"/>
      <c r="I1646" s="78"/>
      <c r="J1646" s="62"/>
      <c r="K1646" s="107"/>
      <c r="L1646" s="99"/>
      <c r="M1646" s="124"/>
    </row>
    <row r="1647" spans="2:13" x14ac:dyDescent="0.35">
      <c r="B1647" s="58"/>
      <c r="C1647" s="59"/>
      <c r="D1647" s="59"/>
      <c r="E1647" s="60"/>
      <c r="F1647" s="61"/>
      <c r="G1647"/>
      <c r="H1647"/>
      <c r="I1647" s="78"/>
      <c r="J1647" s="62"/>
      <c r="K1647" s="107"/>
      <c r="L1647" s="99"/>
      <c r="M1647" s="124"/>
    </row>
    <row r="1648" spans="2:13" x14ac:dyDescent="0.35">
      <c r="B1648" s="58"/>
      <c r="C1648" s="59"/>
      <c r="D1648" s="59"/>
      <c r="E1648" s="60"/>
      <c r="F1648" s="61"/>
      <c r="G1648"/>
      <c r="H1648"/>
      <c r="I1648" s="78"/>
      <c r="J1648" s="62"/>
      <c r="K1648" s="107"/>
      <c r="L1648" s="99"/>
      <c r="M1648" s="124"/>
    </row>
    <row r="1649" spans="2:13" x14ac:dyDescent="0.35">
      <c r="B1649" s="58"/>
      <c r="C1649" s="59"/>
      <c r="D1649" s="59"/>
      <c r="E1649" s="60"/>
      <c r="F1649" s="61"/>
      <c r="G1649"/>
      <c r="H1649"/>
      <c r="I1649" s="78"/>
      <c r="J1649" s="62"/>
      <c r="K1649" s="107"/>
      <c r="L1649" s="99"/>
      <c r="M1649" s="124"/>
    </row>
    <row r="1650" spans="2:13" x14ac:dyDescent="0.35">
      <c r="B1650" s="58"/>
      <c r="C1650" s="59"/>
      <c r="D1650" s="59"/>
      <c r="E1650" s="60"/>
      <c r="F1650" s="61"/>
      <c r="G1650"/>
      <c r="H1650"/>
      <c r="I1650" s="78"/>
      <c r="J1650" s="62"/>
      <c r="K1650" s="107"/>
      <c r="L1650" s="99"/>
      <c r="M1650" s="124"/>
    </row>
    <row r="1651" spans="2:13" x14ac:dyDescent="0.35">
      <c r="B1651" s="58"/>
      <c r="C1651" s="59"/>
      <c r="D1651" s="59"/>
      <c r="E1651" s="60"/>
      <c r="F1651" s="61"/>
      <c r="G1651"/>
      <c r="H1651"/>
      <c r="I1651" s="78"/>
      <c r="J1651" s="62"/>
      <c r="K1651" s="107"/>
      <c r="L1651" s="99"/>
      <c r="M1651" s="124"/>
    </row>
    <row r="1652" spans="2:13" x14ac:dyDescent="0.35">
      <c r="B1652" s="58"/>
      <c r="C1652" s="59"/>
      <c r="D1652" s="59"/>
      <c r="E1652" s="60"/>
      <c r="F1652" s="61"/>
      <c r="G1652"/>
      <c r="H1652"/>
      <c r="I1652" s="78"/>
      <c r="J1652" s="62"/>
      <c r="K1652" s="107"/>
      <c r="L1652" s="99"/>
      <c r="M1652" s="124"/>
    </row>
    <row r="1653" spans="2:13" x14ac:dyDescent="0.35">
      <c r="B1653" s="58"/>
      <c r="C1653" s="59"/>
      <c r="D1653" s="59"/>
      <c r="E1653" s="60"/>
      <c r="F1653" s="61"/>
      <c r="G1653"/>
      <c r="H1653"/>
      <c r="I1653" s="78"/>
      <c r="J1653" s="62"/>
      <c r="K1653" s="107"/>
      <c r="L1653" s="99"/>
      <c r="M1653" s="124"/>
    </row>
    <row r="1654" spans="2:13" x14ac:dyDescent="0.35">
      <c r="B1654" s="58"/>
      <c r="C1654" s="59"/>
      <c r="D1654" s="59"/>
      <c r="E1654" s="60"/>
      <c r="F1654" s="61"/>
      <c r="G1654"/>
      <c r="H1654"/>
      <c r="I1654" s="78"/>
      <c r="J1654" s="62"/>
      <c r="K1654" s="107"/>
      <c r="L1654" s="99"/>
      <c r="M1654" s="124"/>
    </row>
    <row r="1655" spans="2:13" x14ac:dyDescent="0.35">
      <c r="B1655" s="58"/>
      <c r="C1655" s="59"/>
      <c r="D1655" s="59"/>
      <c r="E1655" s="60"/>
      <c r="F1655" s="61"/>
      <c r="G1655"/>
      <c r="H1655"/>
      <c r="I1655" s="78"/>
      <c r="J1655" s="62"/>
      <c r="K1655" s="107"/>
      <c r="L1655" s="99"/>
      <c r="M1655" s="124"/>
    </row>
    <row r="1656" spans="2:13" x14ac:dyDescent="0.35">
      <c r="B1656" s="58"/>
      <c r="C1656" s="59"/>
      <c r="D1656" s="59"/>
      <c r="E1656" s="60"/>
      <c r="F1656" s="61"/>
      <c r="G1656"/>
      <c r="H1656"/>
      <c r="I1656" s="78"/>
      <c r="J1656" s="62"/>
      <c r="K1656" s="107"/>
      <c r="L1656" s="99"/>
      <c r="M1656" s="124"/>
    </row>
    <row r="1657" spans="2:13" x14ac:dyDescent="0.35">
      <c r="B1657" s="58"/>
      <c r="C1657" s="59"/>
      <c r="D1657" s="59"/>
      <c r="E1657" s="60"/>
      <c r="F1657" s="61"/>
      <c r="G1657"/>
      <c r="H1657"/>
      <c r="I1657" s="78"/>
      <c r="J1657" s="62"/>
      <c r="K1657" s="107"/>
      <c r="L1657" s="99"/>
      <c r="M1657" s="124"/>
    </row>
    <row r="1658" spans="2:13" x14ac:dyDescent="0.35">
      <c r="B1658" s="58"/>
      <c r="C1658" s="59"/>
      <c r="D1658" s="59"/>
      <c r="E1658" s="60"/>
      <c r="F1658" s="61"/>
      <c r="G1658"/>
      <c r="H1658"/>
      <c r="I1658" s="78"/>
      <c r="J1658" s="62"/>
      <c r="K1658" s="107"/>
      <c r="L1658" s="99"/>
      <c r="M1658" s="124"/>
    </row>
    <row r="1659" spans="2:13" x14ac:dyDescent="0.35">
      <c r="B1659" s="58"/>
      <c r="C1659" s="59"/>
      <c r="D1659" s="59"/>
      <c r="E1659" s="60"/>
      <c r="F1659" s="61"/>
      <c r="G1659"/>
      <c r="H1659"/>
      <c r="I1659" s="78"/>
      <c r="J1659" s="62"/>
      <c r="K1659" s="107"/>
      <c r="L1659" s="99"/>
      <c r="M1659" s="124"/>
    </row>
    <row r="1660" spans="2:13" x14ac:dyDescent="0.35">
      <c r="B1660" s="58"/>
      <c r="C1660" s="59"/>
      <c r="D1660" s="59"/>
      <c r="E1660" s="60"/>
      <c r="F1660" s="61"/>
      <c r="G1660"/>
      <c r="H1660"/>
      <c r="I1660" s="78"/>
      <c r="J1660" s="62"/>
      <c r="K1660" s="107"/>
      <c r="L1660" s="99"/>
      <c r="M1660" s="124"/>
    </row>
    <row r="1661" spans="2:13" x14ac:dyDescent="0.35">
      <c r="B1661" s="58"/>
      <c r="C1661" s="59"/>
      <c r="D1661" s="59"/>
      <c r="E1661" s="60"/>
      <c r="F1661" s="61"/>
      <c r="G1661"/>
      <c r="H1661"/>
      <c r="I1661" s="78"/>
      <c r="J1661" s="62"/>
      <c r="K1661" s="107"/>
      <c r="L1661" s="99"/>
      <c r="M1661" s="124"/>
    </row>
    <row r="1662" spans="2:13" x14ac:dyDescent="0.35">
      <c r="B1662" s="58"/>
      <c r="C1662" s="59"/>
      <c r="D1662" s="59"/>
      <c r="E1662" s="60"/>
      <c r="F1662" s="61"/>
      <c r="G1662"/>
      <c r="H1662"/>
      <c r="I1662" s="78"/>
      <c r="J1662" s="62"/>
      <c r="K1662" s="107"/>
      <c r="L1662" s="99"/>
      <c r="M1662" s="124"/>
    </row>
    <row r="1663" spans="2:13" x14ac:dyDescent="0.35">
      <c r="B1663" s="58"/>
      <c r="C1663" s="59"/>
      <c r="D1663" s="59"/>
      <c r="E1663" s="60"/>
      <c r="F1663" s="61"/>
      <c r="G1663"/>
      <c r="H1663"/>
      <c r="I1663" s="78"/>
      <c r="J1663" s="62"/>
      <c r="K1663" s="107"/>
      <c r="L1663" s="99"/>
      <c r="M1663" s="124"/>
    </row>
    <row r="1664" spans="2:13" x14ac:dyDescent="0.35">
      <c r="B1664" s="58"/>
      <c r="C1664" s="59"/>
      <c r="D1664" s="59"/>
      <c r="E1664" s="60"/>
      <c r="F1664" s="61"/>
      <c r="G1664"/>
      <c r="H1664"/>
      <c r="I1664" s="78"/>
      <c r="J1664" s="62"/>
      <c r="K1664" s="107"/>
      <c r="L1664" s="99"/>
      <c r="M1664" s="124"/>
    </row>
    <row r="1665" spans="2:13" x14ac:dyDescent="0.35">
      <c r="B1665" s="58"/>
      <c r="C1665" s="59"/>
      <c r="D1665" s="59"/>
      <c r="E1665" s="60"/>
      <c r="F1665" s="61"/>
      <c r="G1665"/>
      <c r="H1665"/>
      <c r="I1665" s="78"/>
      <c r="J1665" s="62"/>
      <c r="K1665" s="107"/>
      <c r="L1665" s="99"/>
      <c r="M1665" s="124"/>
    </row>
    <row r="1666" spans="2:13" x14ac:dyDescent="0.35">
      <c r="B1666" s="58"/>
      <c r="C1666" s="59"/>
      <c r="D1666" s="59"/>
      <c r="E1666" s="60"/>
      <c r="F1666" s="61"/>
      <c r="G1666"/>
      <c r="H1666"/>
      <c r="I1666" s="78"/>
      <c r="J1666" s="62"/>
      <c r="K1666" s="107"/>
      <c r="L1666" s="99"/>
      <c r="M1666" s="124"/>
    </row>
    <row r="1667" spans="2:13" x14ac:dyDescent="0.35">
      <c r="B1667" s="58"/>
      <c r="C1667" s="59"/>
      <c r="D1667" s="59"/>
      <c r="E1667" s="60"/>
      <c r="F1667" s="61"/>
      <c r="G1667"/>
      <c r="H1667"/>
      <c r="I1667" s="78"/>
      <c r="J1667" s="62"/>
      <c r="K1667" s="107"/>
      <c r="L1667" s="99"/>
      <c r="M1667" s="124"/>
    </row>
    <row r="1668" spans="2:13" x14ac:dyDescent="0.35">
      <c r="B1668" s="58"/>
      <c r="C1668" s="59"/>
      <c r="D1668" s="59"/>
      <c r="E1668" s="60"/>
      <c r="F1668" s="61"/>
      <c r="G1668"/>
      <c r="H1668"/>
      <c r="I1668" s="78"/>
      <c r="J1668" s="62"/>
      <c r="K1668" s="107"/>
      <c r="L1668" s="99"/>
      <c r="M1668" s="124"/>
    </row>
    <row r="1669" spans="2:13" x14ac:dyDescent="0.35">
      <c r="B1669" s="58"/>
      <c r="C1669" s="59"/>
      <c r="D1669" s="59"/>
      <c r="E1669" s="60"/>
      <c r="F1669" s="61"/>
      <c r="G1669"/>
      <c r="H1669"/>
      <c r="I1669" s="78"/>
      <c r="J1669" s="62"/>
      <c r="K1669" s="107"/>
      <c r="L1669" s="99"/>
      <c r="M1669" s="124"/>
    </row>
    <row r="1670" spans="2:13" x14ac:dyDescent="0.35">
      <c r="B1670" s="58"/>
      <c r="C1670" s="59"/>
      <c r="D1670" s="59"/>
      <c r="E1670" s="60"/>
      <c r="F1670" s="61"/>
      <c r="G1670"/>
      <c r="H1670"/>
      <c r="I1670" s="78"/>
      <c r="J1670" s="62"/>
      <c r="K1670" s="107"/>
      <c r="L1670" s="99"/>
      <c r="M1670" s="124"/>
    </row>
    <row r="1671" spans="2:13" x14ac:dyDescent="0.35">
      <c r="B1671" s="58"/>
      <c r="C1671" s="59"/>
      <c r="D1671" s="59"/>
      <c r="E1671" s="60"/>
      <c r="F1671" s="61"/>
      <c r="G1671"/>
      <c r="H1671"/>
      <c r="I1671" s="78"/>
      <c r="J1671" s="62"/>
      <c r="K1671" s="107"/>
      <c r="L1671" s="99"/>
      <c r="M1671" s="124"/>
    </row>
    <row r="1672" spans="2:13" x14ac:dyDescent="0.35">
      <c r="B1672" s="58"/>
      <c r="C1672" s="59"/>
      <c r="D1672" s="59"/>
      <c r="E1672" s="60"/>
      <c r="F1672" s="61"/>
      <c r="G1672"/>
      <c r="H1672"/>
      <c r="I1672" s="78"/>
      <c r="J1672" s="62"/>
      <c r="K1672" s="107"/>
      <c r="L1672" s="99"/>
      <c r="M1672" s="124"/>
    </row>
    <row r="1673" spans="2:13" x14ac:dyDescent="0.35">
      <c r="B1673" s="58"/>
      <c r="C1673" s="59"/>
      <c r="D1673" s="59"/>
      <c r="E1673" s="60"/>
      <c r="F1673" s="61"/>
      <c r="G1673"/>
      <c r="H1673"/>
      <c r="I1673" s="78"/>
      <c r="J1673" s="62"/>
      <c r="K1673" s="107"/>
      <c r="L1673" s="99"/>
      <c r="M1673" s="124"/>
    </row>
    <row r="1674" spans="2:13" x14ac:dyDescent="0.35">
      <c r="B1674" s="58"/>
      <c r="C1674" s="59"/>
      <c r="D1674" s="59"/>
      <c r="E1674" s="60"/>
      <c r="F1674" s="61"/>
      <c r="G1674"/>
      <c r="H1674"/>
      <c r="I1674" s="78"/>
      <c r="J1674" s="62"/>
      <c r="K1674" s="107"/>
      <c r="L1674" s="99"/>
      <c r="M1674" s="124"/>
    </row>
    <row r="1675" spans="2:13" x14ac:dyDescent="0.35">
      <c r="B1675" s="58"/>
      <c r="C1675" s="59"/>
      <c r="D1675" s="59"/>
      <c r="E1675" s="60"/>
      <c r="F1675" s="61"/>
      <c r="G1675"/>
      <c r="H1675"/>
      <c r="I1675" s="78"/>
      <c r="J1675" s="62"/>
      <c r="K1675" s="107"/>
      <c r="L1675" s="99"/>
      <c r="M1675" s="124"/>
    </row>
    <row r="1676" spans="2:13" x14ac:dyDescent="0.35">
      <c r="B1676" s="58"/>
      <c r="C1676" s="59"/>
      <c r="D1676" s="59"/>
      <c r="E1676" s="60"/>
      <c r="F1676" s="61"/>
      <c r="G1676"/>
      <c r="H1676"/>
      <c r="I1676" s="78"/>
      <c r="J1676" s="62"/>
      <c r="K1676" s="107"/>
      <c r="L1676" s="99"/>
      <c r="M1676" s="124"/>
    </row>
    <row r="1677" spans="2:13" x14ac:dyDescent="0.35">
      <c r="B1677" s="58"/>
      <c r="C1677" s="59"/>
      <c r="D1677" s="59"/>
      <c r="E1677" s="60"/>
      <c r="F1677" s="61"/>
      <c r="G1677"/>
      <c r="H1677"/>
      <c r="I1677" s="78"/>
      <c r="J1677" s="62"/>
      <c r="K1677" s="107"/>
      <c r="L1677" s="99"/>
      <c r="M1677" s="124"/>
    </row>
    <row r="1678" spans="2:13" x14ac:dyDescent="0.35">
      <c r="B1678" s="58"/>
      <c r="C1678" s="59"/>
      <c r="D1678" s="59"/>
      <c r="E1678" s="60"/>
      <c r="F1678" s="61"/>
      <c r="G1678"/>
      <c r="H1678"/>
      <c r="I1678" s="78"/>
      <c r="J1678" s="62"/>
      <c r="K1678" s="107"/>
      <c r="L1678" s="99"/>
      <c r="M1678" s="124"/>
    </row>
    <row r="1679" spans="2:13" x14ac:dyDescent="0.35">
      <c r="B1679" s="58"/>
      <c r="C1679" s="59"/>
      <c r="D1679" s="59"/>
      <c r="E1679" s="60"/>
      <c r="F1679" s="61"/>
      <c r="G1679"/>
      <c r="H1679"/>
      <c r="I1679" s="78"/>
      <c r="J1679" s="62"/>
      <c r="K1679" s="107"/>
      <c r="L1679" s="99"/>
      <c r="M1679" s="124"/>
    </row>
    <row r="1680" spans="2:13" x14ac:dyDescent="0.35">
      <c r="B1680" s="58"/>
      <c r="C1680" s="59"/>
      <c r="D1680" s="59"/>
      <c r="E1680" s="60"/>
      <c r="F1680" s="61"/>
      <c r="G1680"/>
      <c r="H1680"/>
      <c r="I1680" s="78"/>
      <c r="J1680" s="62"/>
      <c r="K1680" s="107"/>
      <c r="L1680" s="99"/>
      <c r="M1680" s="124"/>
    </row>
    <row r="1681" spans="2:13" x14ac:dyDescent="0.35">
      <c r="B1681" s="58"/>
      <c r="C1681" s="59"/>
      <c r="D1681" s="59"/>
      <c r="E1681" s="60"/>
      <c r="F1681" s="61"/>
      <c r="G1681"/>
      <c r="H1681"/>
      <c r="I1681" s="78"/>
      <c r="J1681" s="62"/>
      <c r="K1681" s="107"/>
      <c r="L1681" s="99"/>
      <c r="M1681" s="124"/>
    </row>
    <row r="1682" spans="2:13" x14ac:dyDescent="0.35">
      <c r="B1682" s="58"/>
      <c r="C1682" s="59"/>
      <c r="D1682" s="59"/>
      <c r="E1682" s="60"/>
      <c r="F1682" s="61"/>
      <c r="G1682"/>
      <c r="H1682"/>
      <c r="I1682" s="78"/>
      <c r="J1682" s="62"/>
      <c r="K1682" s="107"/>
      <c r="L1682" s="99"/>
      <c r="M1682" s="124"/>
    </row>
    <row r="1683" spans="2:13" x14ac:dyDescent="0.35">
      <c r="B1683" s="58"/>
      <c r="C1683" s="59"/>
      <c r="D1683" s="59"/>
      <c r="E1683" s="60"/>
      <c r="F1683" s="61"/>
      <c r="G1683"/>
      <c r="H1683"/>
      <c r="I1683" s="78"/>
      <c r="J1683" s="62"/>
      <c r="K1683" s="107"/>
      <c r="L1683" s="99"/>
      <c r="M1683" s="124"/>
    </row>
    <row r="1684" spans="2:13" x14ac:dyDescent="0.35">
      <c r="B1684" s="58"/>
      <c r="C1684" s="59"/>
      <c r="D1684" s="59"/>
      <c r="E1684" s="60"/>
      <c r="F1684" s="61"/>
      <c r="G1684"/>
      <c r="H1684"/>
      <c r="I1684" s="78"/>
      <c r="J1684" s="62"/>
      <c r="K1684" s="107"/>
      <c r="L1684" s="99"/>
      <c r="M1684" s="124"/>
    </row>
    <row r="1685" spans="2:13" x14ac:dyDescent="0.35">
      <c r="B1685" s="58"/>
      <c r="C1685" s="59"/>
      <c r="D1685" s="59"/>
      <c r="E1685" s="60"/>
      <c r="F1685" s="61"/>
      <c r="G1685"/>
      <c r="H1685"/>
      <c r="I1685" s="78"/>
      <c r="J1685" s="62"/>
      <c r="K1685" s="107"/>
      <c r="L1685" s="99"/>
      <c r="M1685" s="124"/>
    </row>
    <row r="1686" spans="2:13" x14ac:dyDescent="0.35">
      <c r="B1686" s="58"/>
      <c r="C1686" s="59"/>
      <c r="D1686" s="59"/>
      <c r="E1686" s="60"/>
      <c r="F1686" s="61"/>
      <c r="G1686"/>
      <c r="H1686"/>
      <c r="I1686" s="78"/>
      <c r="J1686" s="62"/>
      <c r="K1686" s="107"/>
      <c r="L1686" s="99"/>
      <c r="M1686" s="124"/>
    </row>
    <row r="1687" spans="2:13" x14ac:dyDescent="0.35">
      <c r="B1687" s="58"/>
      <c r="C1687" s="59"/>
      <c r="D1687" s="59"/>
      <c r="E1687" s="60"/>
      <c r="F1687" s="61"/>
      <c r="G1687"/>
      <c r="H1687"/>
      <c r="I1687" s="78"/>
      <c r="J1687" s="62"/>
      <c r="K1687" s="107"/>
      <c r="L1687" s="99"/>
      <c r="M1687" s="124"/>
    </row>
    <row r="1688" spans="2:13" x14ac:dyDescent="0.35">
      <c r="B1688" s="58"/>
      <c r="C1688" s="59"/>
      <c r="D1688" s="59"/>
      <c r="E1688" s="60"/>
      <c r="F1688" s="61"/>
      <c r="G1688"/>
      <c r="H1688"/>
      <c r="I1688" s="78"/>
      <c r="J1688" s="62"/>
      <c r="K1688" s="107"/>
      <c r="L1688" s="99"/>
      <c r="M1688" s="124"/>
    </row>
    <row r="1689" spans="2:13" x14ac:dyDescent="0.35">
      <c r="B1689" s="58"/>
      <c r="C1689" s="59"/>
      <c r="D1689" s="59"/>
      <c r="E1689" s="60"/>
      <c r="F1689" s="61"/>
      <c r="G1689"/>
      <c r="H1689"/>
      <c r="I1689" s="78"/>
      <c r="J1689" s="62"/>
      <c r="K1689" s="107"/>
      <c r="L1689" s="99"/>
      <c r="M1689" s="124"/>
    </row>
    <row r="1690" spans="2:13" x14ac:dyDescent="0.35">
      <c r="B1690" s="58"/>
      <c r="C1690" s="59"/>
      <c r="D1690" s="59"/>
      <c r="E1690" s="60"/>
      <c r="F1690" s="61"/>
      <c r="G1690"/>
      <c r="H1690"/>
      <c r="I1690" s="78"/>
      <c r="J1690" s="62"/>
      <c r="K1690" s="107"/>
      <c r="L1690" s="99"/>
      <c r="M1690" s="124"/>
    </row>
    <row r="1691" spans="2:13" x14ac:dyDescent="0.35">
      <c r="B1691" s="58"/>
      <c r="C1691" s="59"/>
      <c r="D1691" s="59"/>
      <c r="E1691" s="60"/>
      <c r="F1691" s="61"/>
      <c r="G1691"/>
      <c r="H1691"/>
      <c r="I1691" s="78"/>
      <c r="J1691" s="62"/>
      <c r="K1691" s="107"/>
      <c r="L1691" s="99"/>
      <c r="M1691" s="124"/>
    </row>
    <row r="1692" spans="2:13" x14ac:dyDescent="0.35">
      <c r="B1692" s="58"/>
      <c r="C1692" s="59"/>
      <c r="D1692" s="59"/>
      <c r="E1692" s="60"/>
      <c r="F1692" s="61"/>
      <c r="G1692"/>
      <c r="H1692"/>
      <c r="I1692" s="71"/>
      <c r="J1692" s="62"/>
      <c r="K1692" s="107"/>
      <c r="L1692" s="99"/>
      <c r="M1692" s="124"/>
    </row>
    <row r="1693" spans="2:13" x14ac:dyDescent="0.35">
      <c r="B1693" s="58"/>
      <c r="C1693" s="59"/>
      <c r="D1693" s="59"/>
      <c r="E1693" s="60"/>
      <c r="F1693" s="61"/>
      <c r="G1693"/>
      <c r="H1693"/>
      <c r="I1693" s="78"/>
      <c r="J1693" s="62"/>
      <c r="K1693" s="107"/>
      <c r="L1693" s="99"/>
      <c r="M1693" s="124"/>
    </row>
    <row r="1694" spans="2:13" x14ac:dyDescent="0.35">
      <c r="B1694" s="58"/>
      <c r="C1694" s="59"/>
      <c r="D1694" s="59"/>
      <c r="E1694" s="60"/>
      <c r="F1694" s="61"/>
      <c r="G1694"/>
      <c r="H1694"/>
      <c r="I1694" s="78"/>
      <c r="J1694" s="62"/>
      <c r="K1694" s="107"/>
      <c r="L1694" s="99"/>
      <c r="M1694" s="124"/>
    </row>
    <row r="1695" spans="2:13" x14ac:dyDescent="0.35">
      <c r="B1695" s="58"/>
      <c r="C1695" s="59"/>
      <c r="D1695" s="59"/>
      <c r="E1695" s="60"/>
      <c r="F1695" s="61"/>
      <c r="G1695"/>
      <c r="H1695"/>
      <c r="I1695" s="78"/>
      <c r="J1695" s="62"/>
      <c r="K1695" s="107"/>
      <c r="L1695" s="99"/>
      <c r="M1695" s="124"/>
    </row>
    <row r="1696" spans="2:13" x14ac:dyDescent="0.35">
      <c r="B1696" s="58"/>
      <c r="C1696" s="59"/>
      <c r="D1696" s="59"/>
      <c r="E1696" s="60"/>
      <c r="F1696" s="61"/>
      <c r="G1696"/>
      <c r="H1696"/>
      <c r="I1696" s="78"/>
      <c r="J1696" s="62"/>
      <c r="K1696" s="107"/>
      <c r="L1696" s="99"/>
      <c r="M1696" s="124"/>
    </row>
    <row r="1697" spans="2:13" x14ac:dyDescent="0.35">
      <c r="B1697" s="58"/>
      <c r="C1697" s="59"/>
      <c r="D1697" s="59"/>
      <c r="E1697" s="60"/>
      <c r="F1697" s="61"/>
      <c r="G1697"/>
      <c r="H1697"/>
      <c r="I1697" s="78"/>
      <c r="J1697" s="62"/>
      <c r="K1697" s="107"/>
      <c r="L1697" s="99"/>
      <c r="M1697" s="124"/>
    </row>
    <row r="1698" spans="2:13" x14ac:dyDescent="0.35">
      <c r="B1698" s="58"/>
      <c r="C1698" s="59"/>
      <c r="D1698" s="59"/>
      <c r="E1698" s="60"/>
      <c r="F1698" s="61"/>
      <c r="G1698"/>
      <c r="H1698"/>
      <c r="I1698" s="78"/>
      <c r="J1698" s="62"/>
      <c r="K1698" s="107"/>
      <c r="L1698" s="99"/>
      <c r="M1698" s="124"/>
    </row>
    <row r="1699" spans="2:13" x14ac:dyDescent="0.35">
      <c r="B1699" s="58"/>
      <c r="C1699" s="59"/>
      <c r="D1699" s="59"/>
      <c r="E1699" s="60"/>
      <c r="F1699" s="61"/>
      <c r="G1699"/>
      <c r="H1699"/>
      <c r="I1699" s="78"/>
      <c r="J1699" s="62"/>
      <c r="K1699" s="107"/>
      <c r="L1699" s="99"/>
      <c r="M1699" s="124"/>
    </row>
    <row r="1700" spans="2:13" x14ac:dyDescent="0.35">
      <c r="B1700" s="58"/>
      <c r="C1700" s="59"/>
      <c r="D1700" s="59"/>
      <c r="E1700" s="60"/>
      <c r="F1700" s="61"/>
      <c r="G1700"/>
      <c r="H1700"/>
      <c r="I1700" s="78"/>
      <c r="J1700" s="62"/>
      <c r="K1700" s="107"/>
      <c r="L1700" s="99"/>
      <c r="M1700" s="124"/>
    </row>
    <row r="1701" spans="2:13" x14ac:dyDescent="0.35">
      <c r="B1701" s="58"/>
      <c r="C1701" s="59"/>
      <c r="D1701" s="59"/>
      <c r="E1701" s="60"/>
      <c r="F1701" s="61"/>
      <c r="G1701"/>
      <c r="H1701"/>
      <c r="I1701" s="78"/>
      <c r="J1701" s="62"/>
      <c r="K1701" s="107"/>
      <c r="L1701" s="99"/>
      <c r="M1701" s="124"/>
    </row>
    <row r="1702" spans="2:13" x14ac:dyDescent="0.35">
      <c r="B1702" s="58"/>
      <c r="C1702" s="59"/>
      <c r="D1702" s="59"/>
      <c r="E1702" s="60"/>
      <c r="F1702" s="61"/>
      <c r="G1702"/>
      <c r="H1702"/>
      <c r="I1702" s="78"/>
      <c r="J1702" s="62"/>
      <c r="K1702" s="107"/>
      <c r="L1702" s="99"/>
      <c r="M1702" s="124"/>
    </row>
    <row r="1703" spans="2:13" x14ac:dyDescent="0.35">
      <c r="B1703" s="58"/>
      <c r="C1703" s="59"/>
      <c r="D1703" s="59"/>
      <c r="E1703" s="60"/>
      <c r="F1703" s="61"/>
      <c r="G1703"/>
      <c r="H1703"/>
      <c r="I1703" s="78"/>
      <c r="J1703" s="62"/>
      <c r="K1703" s="107"/>
      <c r="L1703" s="99"/>
      <c r="M1703" s="124"/>
    </row>
    <row r="1704" spans="2:13" x14ac:dyDescent="0.35">
      <c r="B1704" s="58"/>
      <c r="C1704" s="59"/>
      <c r="D1704" s="59"/>
      <c r="E1704" s="60"/>
      <c r="F1704" s="61"/>
      <c r="G1704"/>
      <c r="H1704"/>
      <c r="I1704" s="78"/>
      <c r="J1704" s="62"/>
      <c r="K1704" s="107"/>
      <c r="L1704" s="99"/>
      <c r="M1704" s="124"/>
    </row>
    <row r="1705" spans="2:13" x14ac:dyDescent="0.35">
      <c r="B1705" s="58"/>
      <c r="C1705" s="59"/>
      <c r="D1705" s="59"/>
      <c r="E1705" s="60"/>
      <c r="F1705" s="61"/>
      <c r="G1705"/>
      <c r="H1705"/>
      <c r="I1705" s="78"/>
      <c r="J1705" s="62"/>
      <c r="K1705" s="107"/>
      <c r="L1705" s="99"/>
      <c r="M1705" s="124"/>
    </row>
    <row r="1706" spans="2:13" x14ac:dyDescent="0.35">
      <c r="B1706" s="58"/>
      <c r="C1706" s="59"/>
      <c r="D1706" s="59"/>
      <c r="E1706" s="60"/>
      <c r="F1706" s="61"/>
      <c r="G1706"/>
      <c r="H1706"/>
      <c r="I1706" s="78"/>
      <c r="J1706" s="62"/>
      <c r="K1706" s="107"/>
      <c r="L1706" s="99"/>
      <c r="M1706" s="124"/>
    </row>
    <row r="1707" spans="2:13" x14ac:dyDescent="0.35">
      <c r="B1707" s="58"/>
      <c r="C1707" s="59"/>
      <c r="D1707" s="59"/>
      <c r="E1707" s="60"/>
      <c r="F1707" s="61"/>
      <c r="G1707"/>
      <c r="H1707"/>
      <c r="I1707" s="78"/>
      <c r="J1707" s="62"/>
      <c r="K1707" s="107"/>
      <c r="L1707" s="99"/>
      <c r="M1707" s="124"/>
    </row>
    <row r="1708" spans="2:13" x14ac:dyDescent="0.35">
      <c r="B1708" s="58"/>
      <c r="C1708" s="59"/>
      <c r="D1708" s="59"/>
      <c r="E1708" s="60"/>
      <c r="F1708" s="61"/>
      <c r="G1708"/>
      <c r="H1708"/>
      <c r="I1708" s="78"/>
      <c r="J1708" s="62"/>
      <c r="K1708" s="107"/>
      <c r="L1708" s="99"/>
      <c r="M1708" s="124"/>
    </row>
    <row r="1709" spans="2:13" x14ac:dyDescent="0.35">
      <c r="B1709" s="58"/>
      <c r="C1709" s="59"/>
      <c r="D1709" s="59"/>
      <c r="E1709" s="60"/>
      <c r="F1709" s="61"/>
      <c r="G1709"/>
      <c r="H1709"/>
      <c r="I1709" s="78"/>
      <c r="J1709" s="62"/>
      <c r="K1709" s="107"/>
      <c r="L1709" s="99"/>
      <c r="M1709" s="124"/>
    </row>
    <row r="1710" spans="2:13" x14ac:dyDescent="0.35">
      <c r="B1710" s="58"/>
      <c r="C1710" s="59"/>
      <c r="D1710" s="59"/>
      <c r="E1710" s="60"/>
      <c r="F1710" s="61"/>
      <c r="G1710"/>
      <c r="H1710"/>
      <c r="I1710" s="78"/>
      <c r="J1710" s="62"/>
      <c r="K1710" s="107"/>
      <c r="L1710" s="99"/>
      <c r="M1710" s="124"/>
    </row>
    <row r="1711" spans="2:13" x14ac:dyDescent="0.35">
      <c r="B1711" s="58"/>
      <c r="C1711" s="59"/>
      <c r="D1711" s="59"/>
      <c r="E1711" s="60"/>
      <c r="F1711" s="61"/>
      <c r="G1711"/>
      <c r="H1711"/>
      <c r="I1711" s="78"/>
      <c r="J1711" s="62"/>
      <c r="K1711" s="107"/>
      <c r="L1711" s="99"/>
      <c r="M1711" s="124"/>
    </row>
    <row r="1712" spans="2:13" x14ac:dyDescent="0.35">
      <c r="B1712" s="58"/>
      <c r="C1712" s="59"/>
      <c r="D1712" s="59"/>
      <c r="E1712" s="60"/>
      <c r="F1712" s="61"/>
      <c r="G1712"/>
      <c r="H1712"/>
      <c r="I1712" s="78"/>
      <c r="J1712" s="62"/>
      <c r="K1712" s="107"/>
      <c r="L1712" s="99"/>
      <c r="M1712" s="124"/>
    </row>
    <row r="1713" spans="2:13" x14ac:dyDescent="0.35">
      <c r="B1713" s="58"/>
      <c r="C1713" s="59"/>
      <c r="D1713" s="59"/>
      <c r="E1713" s="60"/>
      <c r="F1713" s="61"/>
      <c r="G1713"/>
      <c r="H1713"/>
      <c r="I1713" s="78"/>
      <c r="J1713" s="62"/>
      <c r="K1713" s="107"/>
      <c r="L1713" s="99"/>
      <c r="M1713" s="124"/>
    </row>
    <row r="1714" spans="2:13" x14ac:dyDescent="0.35">
      <c r="B1714" s="58"/>
      <c r="C1714" s="59"/>
      <c r="D1714" s="59"/>
      <c r="E1714" s="60"/>
      <c r="F1714" s="61"/>
      <c r="G1714"/>
      <c r="H1714"/>
      <c r="I1714" s="78"/>
      <c r="J1714" s="62"/>
      <c r="K1714" s="107"/>
      <c r="L1714" s="99"/>
      <c r="M1714" s="124"/>
    </row>
    <row r="1715" spans="2:13" x14ac:dyDescent="0.35">
      <c r="B1715" s="58"/>
      <c r="C1715" s="59"/>
      <c r="D1715" s="59"/>
      <c r="E1715" s="60"/>
      <c r="F1715" s="61"/>
      <c r="G1715"/>
      <c r="H1715"/>
      <c r="I1715" s="78"/>
      <c r="J1715" s="62"/>
      <c r="K1715" s="107"/>
      <c r="L1715" s="99"/>
      <c r="M1715" s="124"/>
    </row>
    <row r="1716" spans="2:13" x14ac:dyDescent="0.35">
      <c r="B1716" s="58"/>
      <c r="C1716" s="59"/>
      <c r="D1716" s="59"/>
      <c r="E1716" s="60"/>
      <c r="F1716" s="61"/>
      <c r="G1716"/>
      <c r="H1716"/>
      <c r="I1716" s="78"/>
      <c r="J1716" s="62"/>
      <c r="K1716" s="107"/>
      <c r="L1716" s="99"/>
      <c r="M1716" s="124"/>
    </row>
    <row r="1717" spans="2:13" x14ac:dyDescent="0.35">
      <c r="B1717" s="58"/>
      <c r="C1717" s="59"/>
      <c r="D1717" s="59"/>
      <c r="E1717" s="60"/>
      <c r="F1717" s="61"/>
      <c r="G1717"/>
      <c r="H1717"/>
      <c r="I1717" s="78"/>
      <c r="J1717" s="62"/>
      <c r="K1717" s="107"/>
      <c r="L1717" s="99"/>
      <c r="M1717" s="124"/>
    </row>
    <row r="1718" spans="2:13" x14ac:dyDescent="0.35">
      <c r="B1718" s="58"/>
      <c r="C1718" s="59"/>
      <c r="D1718" s="59"/>
      <c r="E1718" s="60"/>
      <c r="F1718" s="61"/>
      <c r="G1718"/>
      <c r="H1718"/>
      <c r="I1718" s="78"/>
      <c r="J1718" s="62"/>
      <c r="K1718" s="107"/>
      <c r="L1718" s="99"/>
      <c r="M1718" s="124"/>
    </row>
    <row r="1719" spans="2:13" x14ac:dyDescent="0.35">
      <c r="B1719" s="58">
        <f t="shared" ref="B1719:B1782" si="2">B1718+1</f>
        <v>1</v>
      </c>
      <c r="C1719" s="125"/>
      <c r="D1719" s="59"/>
      <c r="E1719" s="60"/>
      <c r="F1719" s="61"/>
      <c r="G1719"/>
      <c r="H1719"/>
      <c r="I1719" s="78"/>
      <c r="J1719" s="62"/>
      <c r="K1719" s="107"/>
      <c r="L1719" s="99"/>
      <c r="M1719" s="124"/>
    </row>
    <row r="1720" spans="2:13" x14ac:dyDescent="0.35">
      <c r="B1720" s="58">
        <f t="shared" si="2"/>
        <v>2</v>
      </c>
      <c r="C1720" s="125"/>
      <c r="D1720" s="59"/>
      <c r="E1720" s="60"/>
      <c r="F1720" s="61"/>
      <c r="G1720"/>
      <c r="H1720"/>
      <c r="I1720" s="78"/>
      <c r="J1720" s="62"/>
      <c r="K1720" s="107"/>
      <c r="L1720" s="99"/>
      <c r="M1720" s="124"/>
    </row>
    <row r="1721" spans="2:13" x14ac:dyDescent="0.35">
      <c r="B1721" s="58">
        <f t="shared" si="2"/>
        <v>3</v>
      </c>
      <c r="C1721" s="125"/>
      <c r="D1721" s="59"/>
      <c r="E1721" s="60"/>
      <c r="F1721" s="61"/>
      <c r="G1721"/>
      <c r="H1721"/>
      <c r="I1721" s="78"/>
      <c r="J1721" s="62"/>
      <c r="K1721" s="107"/>
      <c r="L1721" s="99"/>
      <c r="M1721" s="124"/>
    </row>
    <row r="1722" spans="2:13" x14ac:dyDescent="0.35">
      <c r="B1722" s="58">
        <f t="shared" si="2"/>
        <v>4</v>
      </c>
      <c r="C1722" s="125"/>
      <c r="D1722" s="59"/>
      <c r="E1722" s="60"/>
      <c r="F1722" s="61"/>
      <c r="G1722"/>
      <c r="H1722"/>
      <c r="I1722" s="78"/>
      <c r="J1722" s="62"/>
      <c r="K1722" s="107"/>
      <c r="L1722" s="99"/>
      <c r="M1722" s="124"/>
    </row>
    <row r="1723" spans="2:13" x14ac:dyDescent="0.35">
      <c r="B1723" s="58">
        <f t="shared" si="2"/>
        <v>5</v>
      </c>
      <c r="C1723" s="125"/>
      <c r="D1723" s="59"/>
      <c r="E1723" s="60"/>
      <c r="F1723" s="61"/>
      <c r="G1723"/>
      <c r="H1723"/>
      <c r="I1723" s="78"/>
      <c r="J1723" s="62"/>
      <c r="K1723" s="107"/>
      <c r="L1723" s="99"/>
      <c r="M1723" s="124"/>
    </row>
    <row r="1724" spans="2:13" x14ac:dyDescent="0.35">
      <c r="B1724" s="58">
        <f t="shared" si="2"/>
        <v>6</v>
      </c>
      <c r="C1724" s="125"/>
      <c r="D1724" s="59"/>
      <c r="E1724" s="60"/>
      <c r="F1724" s="61"/>
      <c r="G1724"/>
      <c r="H1724"/>
      <c r="I1724" s="78"/>
      <c r="J1724" s="62"/>
      <c r="K1724" s="107"/>
      <c r="L1724" s="99"/>
      <c r="M1724" s="124"/>
    </row>
    <row r="1725" spans="2:13" x14ac:dyDescent="0.35">
      <c r="B1725" s="58">
        <f t="shared" si="2"/>
        <v>7</v>
      </c>
      <c r="C1725" s="125"/>
      <c r="D1725" s="59"/>
      <c r="E1725" s="60"/>
      <c r="F1725" s="61"/>
      <c r="G1725"/>
      <c r="H1725"/>
      <c r="I1725" s="78"/>
      <c r="J1725" s="62"/>
      <c r="K1725" s="107"/>
      <c r="L1725" s="99"/>
      <c r="M1725" s="124"/>
    </row>
    <row r="1726" spans="2:13" x14ac:dyDescent="0.35">
      <c r="B1726" s="58">
        <f t="shared" si="2"/>
        <v>8</v>
      </c>
      <c r="C1726" s="125"/>
      <c r="D1726" s="59"/>
      <c r="E1726" s="60"/>
      <c r="F1726" s="61"/>
      <c r="G1726"/>
      <c r="H1726"/>
      <c r="I1726" s="78"/>
      <c r="J1726" s="62"/>
      <c r="K1726" s="107"/>
      <c r="L1726" s="99"/>
      <c r="M1726" s="124"/>
    </row>
    <row r="1727" spans="2:13" x14ac:dyDescent="0.35">
      <c r="B1727" s="58">
        <f t="shared" si="2"/>
        <v>9</v>
      </c>
      <c r="C1727" s="125"/>
      <c r="D1727" s="59"/>
      <c r="E1727" s="60"/>
      <c r="F1727" s="61"/>
      <c r="G1727"/>
      <c r="H1727"/>
      <c r="I1727" s="78"/>
      <c r="J1727" s="62"/>
      <c r="K1727" s="107"/>
      <c r="L1727" s="99"/>
      <c r="M1727" s="124"/>
    </row>
    <row r="1728" spans="2:13" x14ac:dyDescent="0.35">
      <c r="B1728" s="58">
        <f t="shared" si="2"/>
        <v>10</v>
      </c>
      <c r="C1728" s="125"/>
      <c r="D1728" s="59"/>
      <c r="E1728" s="60"/>
      <c r="F1728" s="61"/>
      <c r="G1728"/>
      <c r="H1728"/>
      <c r="I1728" s="78"/>
      <c r="J1728" s="62"/>
      <c r="K1728" s="107"/>
      <c r="L1728" s="99"/>
      <c r="M1728" s="124"/>
    </row>
    <row r="1729" spans="2:13" x14ac:dyDescent="0.35">
      <c r="B1729" s="58">
        <f t="shared" si="2"/>
        <v>11</v>
      </c>
      <c r="C1729" s="125"/>
      <c r="D1729" s="59"/>
      <c r="E1729" s="60"/>
      <c r="F1729" s="61"/>
      <c r="G1729"/>
      <c r="H1729"/>
      <c r="I1729" s="78"/>
      <c r="J1729" s="62"/>
      <c r="K1729" s="107"/>
      <c r="L1729" s="99"/>
      <c r="M1729" s="124"/>
    </row>
    <row r="1730" spans="2:13" x14ac:dyDescent="0.35">
      <c r="B1730" s="58">
        <f t="shared" si="2"/>
        <v>12</v>
      </c>
      <c r="C1730" s="125"/>
      <c r="D1730" s="59"/>
      <c r="E1730" s="60"/>
      <c r="F1730" s="61"/>
      <c r="G1730"/>
      <c r="H1730"/>
      <c r="I1730" s="78"/>
      <c r="J1730" s="62"/>
      <c r="K1730" s="107"/>
      <c r="L1730" s="99"/>
      <c r="M1730" s="124"/>
    </row>
    <row r="1731" spans="2:13" x14ac:dyDescent="0.35">
      <c r="B1731" s="58">
        <f t="shared" si="2"/>
        <v>13</v>
      </c>
      <c r="C1731" s="125"/>
      <c r="D1731" s="59"/>
      <c r="E1731" s="60"/>
      <c r="F1731" s="61"/>
      <c r="G1731"/>
      <c r="H1731"/>
      <c r="I1731" s="78"/>
      <c r="J1731" s="62"/>
      <c r="K1731" s="107"/>
      <c r="L1731" s="99"/>
      <c r="M1731" s="124"/>
    </row>
    <row r="1732" spans="2:13" x14ac:dyDescent="0.35">
      <c r="B1732" s="58">
        <f t="shared" si="2"/>
        <v>14</v>
      </c>
      <c r="C1732" s="125"/>
      <c r="D1732" s="59"/>
      <c r="E1732" s="60"/>
      <c r="F1732" s="61"/>
      <c r="G1732"/>
      <c r="H1732"/>
      <c r="I1732" s="78"/>
      <c r="J1732" s="62"/>
      <c r="K1732" s="107"/>
      <c r="L1732" s="99"/>
      <c r="M1732" s="124"/>
    </row>
    <row r="1733" spans="2:13" x14ac:dyDescent="0.35">
      <c r="B1733" s="58">
        <f t="shared" si="2"/>
        <v>15</v>
      </c>
      <c r="C1733" s="125"/>
      <c r="D1733" s="59"/>
      <c r="E1733" s="60"/>
      <c r="F1733" s="61"/>
      <c r="G1733"/>
      <c r="H1733"/>
      <c r="I1733" s="78"/>
      <c r="J1733" s="62"/>
      <c r="K1733" s="107"/>
      <c r="L1733" s="99"/>
      <c r="M1733" s="124"/>
    </row>
    <row r="1734" spans="2:13" x14ac:dyDescent="0.35">
      <c r="B1734" s="58">
        <f t="shared" si="2"/>
        <v>16</v>
      </c>
      <c r="C1734" s="125"/>
      <c r="D1734" s="59"/>
      <c r="E1734" s="60"/>
      <c r="F1734" s="61"/>
      <c r="G1734"/>
      <c r="H1734"/>
      <c r="I1734" s="78"/>
      <c r="J1734" s="62"/>
      <c r="K1734" s="107"/>
      <c r="L1734" s="99"/>
      <c r="M1734" s="124"/>
    </row>
    <row r="1735" spans="2:13" x14ac:dyDescent="0.35">
      <c r="B1735" s="58">
        <f t="shared" si="2"/>
        <v>17</v>
      </c>
      <c r="C1735" s="125"/>
      <c r="D1735" s="59"/>
      <c r="E1735" s="60"/>
      <c r="F1735" s="61"/>
      <c r="G1735"/>
      <c r="H1735"/>
      <c r="I1735" s="78"/>
      <c r="J1735" s="62"/>
      <c r="K1735" s="107"/>
      <c r="L1735" s="99"/>
      <c r="M1735" s="124"/>
    </row>
    <row r="1736" spans="2:13" x14ac:dyDescent="0.35">
      <c r="B1736" s="58">
        <f t="shared" si="2"/>
        <v>18</v>
      </c>
      <c r="C1736" s="125"/>
      <c r="D1736" s="59"/>
      <c r="E1736" s="60"/>
      <c r="F1736" s="61"/>
      <c r="G1736"/>
      <c r="H1736"/>
      <c r="I1736" s="78"/>
      <c r="J1736" s="62"/>
      <c r="K1736" s="107"/>
      <c r="L1736" s="99"/>
      <c r="M1736" s="124"/>
    </row>
    <row r="1737" spans="2:13" x14ac:dyDescent="0.35">
      <c r="B1737" s="58">
        <f t="shared" si="2"/>
        <v>19</v>
      </c>
      <c r="C1737" s="125"/>
      <c r="D1737" s="59"/>
      <c r="E1737" s="60"/>
      <c r="F1737" s="61"/>
      <c r="G1737"/>
      <c r="H1737"/>
      <c r="I1737" s="78"/>
      <c r="J1737" s="62"/>
      <c r="K1737" s="107"/>
      <c r="L1737" s="99"/>
      <c r="M1737" s="124"/>
    </row>
    <row r="1738" spans="2:13" x14ac:dyDescent="0.35">
      <c r="B1738" s="58">
        <f t="shared" si="2"/>
        <v>20</v>
      </c>
      <c r="C1738" s="125"/>
      <c r="D1738" s="59"/>
      <c r="E1738" s="60"/>
      <c r="F1738" s="61"/>
      <c r="G1738"/>
      <c r="H1738"/>
      <c r="I1738" s="78"/>
      <c r="J1738" s="62"/>
      <c r="K1738" s="107"/>
      <c r="L1738" s="99"/>
      <c r="M1738" s="124"/>
    </row>
    <row r="1739" spans="2:13" x14ac:dyDescent="0.35">
      <c r="B1739" s="58">
        <f t="shared" si="2"/>
        <v>21</v>
      </c>
      <c r="C1739" s="125"/>
      <c r="D1739" s="59"/>
      <c r="E1739" s="60"/>
      <c r="F1739" s="61"/>
      <c r="G1739"/>
      <c r="H1739"/>
      <c r="I1739" s="78"/>
      <c r="J1739" s="62"/>
      <c r="K1739" s="107"/>
      <c r="L1739" s="99"/>
      <c r="M1739" s="124"/>
    </row>
    <row r="1740" spans="2:13" x14ac:dyDescent="0.35">
      <c r="B1740" s="58">
        <f t="shared" si="2"/>
        <v>22</v>
      </c>
      <c r="C1740" s="125"/>
      <c r="D1740" s="59"/>
      <c r="E1740" s="60"/>
      <c r="F1740" s="61"/>
      <c r="G1740"/>
      <c r="H1740"/>
      <c r="I1740" s="78"/>
      <c r="J1740" s="62"/>
      <c r="K1740" s="107"/>
      <c r="L1740" s="99"/>
      <c r="M1740" s="124"/>
    </row>
    <row r="1741" spans="2:13" x14ac:dyDescent="0.35">
      <c r="B1741" s="58">
        <f t="shared" si="2"/>
        <v>23</v>
      </c>
      <c r="C1741" s="125"/>
      <c r="D1741" s="59"/>
      <c r="E1741" s="60"/>
      <c r="F1741" s="61"/>
      <c r="G1741"/>
      <c r="H1741"/>
      <c r="I1741" s="78"/>
      <c r="J1741" s="62"/>
      <c r="K1741" s="107"/>
      <c r="L1741" s="99"/>
      <c r="M1741" s="124"/>
    </row>
    <row r="1742" spans="2:13" x14ac:dyDescent="0.35">
      <c r="B1742" s="58">
        <f t="shared" si="2"/>
        <v>24</v>
      </c>
      <c r="C1742" s="125"/>
      <c r="D1742" s="59"/>
      <c r="E1742" s="60"/>
      <c r="F1742" s="61"/>
      <c r="G1742"/>
      <c r="H1742"/>
      <c r="I1742" s="78"/>
      <c r="J1742" s="62"/>
      <c r="K1742" s="107"/>
      <c r="L1742" s="99"/>
      <c r="M1742" s="124"/>
    </row>
    <row r="1743" spans="2:13" x14ac:dyDescent="0.35">
      <c r="B1743" s="58">
        <f t="shared" si="2"/>
        <v>25</v>
      </c>
      <c r="C1743" s="125"/>
      <c r="D1743" s="59"/>
      <c r="E1743" s="60"/>
      <c r="F1743" s="61"/>
      <c r="G1743"/>
      <c r="H1743"/>
      <c r="I1743" s="78"/>
      <c r="J1743" s="62"/>
      <c r="K1743" s="107"/>
      <c r="L1743" s="99"/>
      <c r="M1743" s="124"/>
    </row>
    <row r="1744" spans="2:13" x14ac:dyDescent="0.35">
      <c r="B1744" s="58">
        <f t="shared" si="2"/>
        <v>26</v>
      </c>
      <c r="C1744" s="125"/>
      <c r="D1744" s="59"/>
      <c r="E1744" s="60"/>
      <c r="F1744" s="61"/>
      <c r="G1744"/>
      <c r="H1744"/>
      <c r="I1744" s="78"/>
      <c r="J1744" s="62"/>
      <c r="K1744" s="107"/>
      <c r="L1744" s="99"/>
      <c r="M1744" s="124"/>
    </row>
    <row r="1745" spans="1:14" x14ac:dyDescent="0.35">
      <c r="B1745" s="58">
        <f t="shared" si="2"/>
        <v>27</v>
      </c>
      <c r="C1745" s="125"/>
      <c r="D1745" s="59"/>
      <c r="E1745" s="60"/>
      <c r="F1745" s="61"/>
      <c r="G1745"/>
      <c r="H1745"/>
      <c r="I1745" s="78"/>
      <c r="J1745" s="62"/>
      <c r="K1745" s="107"/>
      <c r="L1745" s="99"/>
      <c r="M1745" s="124"/>
    </row>
    <row r="1746" spans="1:14" x14ac:dyDescent="0.35">
      <c r="B1746" s="58">
        <f t="shared" si="2"/>
        <v>28</v>
      </c>
      <c r="C1746" s="125"/>
      <c r="D1746" s="59"/>
      <c r="E1746" s="60"/>
      <c r="F1746" s="61"/>
      <c r="G1746"/>
      <c r="H1746"/>
      <c r="I1746" s="78"/>
      <c r="J1746" s="62"/>
      <c r="K1746" s="107"/>
      <c r="L1746" s="99"/>
      <c r="M1746" s="124"/>
    </row>
    <row r="1747" spans="1:14" x14ac:dyDescent="0.35">
      <c r="B1747" s="58">
        <f t="shared" si="2"/>
        <v>29</v>
      </c>
      <c r="C1747" s="125"/>
      <c r="D1747" s="59"/>
      <c r="E1747" s="60"/>
      <c r="F1747" s="61"/>
      <c r="G1747"/>
      <c r="H1747"/>
      <c r="I1747" s="78"/>
      <c r="J1747" s="62"/>
      <c r="K1747" s="107"/>
      <c r="L1747" s="99"/>
      <c r="M1747" s="124"/>
    </row>
    <row r="1748" spans="1:14" x14ac:dyDescent="0.35">
      <c r="B1748" s="58">
        <f t="shared" si="2"/>
        <v>30</v>
      </c>
      <c r="C1748" s="125"/>
      <c r="D1748" s="59"/>
      <c r="E1748" s="60"/>
      <c r="F1748" s="61"/>
      <c r="G1748"/>
      <c r="H1748"/>
      <c r="I1748" s="78"/>
      <c r="J1748" s="62"/>
      <c r="K1748" s="107"/>
      <c r="L1748" s="99"/>
      <c r="M1748" s="124"/>
    </row>
    <row r="1749" spans="1:14" x14ac:dyDescent="0.35">
      <c r="B1749" s="58">
        <f t="shared" si="2"/>
        <v>31</v>
      </c>
      <c r="C1749" s="125"/>
      <c r="D1749" s="59"/>
      <c r="E1749" s="60"/>
      <c r="F1749" s="61"/>
      <c r="G1749"/>
      <c r="H1749"/>
      <c r="I1749" s="78"/>
      <c r="J1749" s="62"/>
      <c r="K1749" s="107"/>
      <c r="L1749" s="99"/>
      <c r="M1749" s="124"/>
    </row>
    <row r="1750" spans="1:14" x14ac:dyDescent="0.35">
      <c r="B1750" s="58">
        <f t="shared" si="2"/>
        <v>32</v>
      </c>
      <c r="C1750" s="125"/>
      <c r="D1750" s="59"/>
      <c r="E1750" s="60"/>
      <c r="F1750" s="61"/>
      <c r="G1750"/>
      <c r="H1750"/>
      <c r="I1750" s="78"/>
      <c r="J1750" s="62"/>
      <c r="K1750" s="107"/>
      <c r="L1750" s="99"/>
      <c r="M1750" s="124"/>
    </row>
    <row r="1751" spans="1:14" x14ac:dyDescent="0.35">
      <c r="B1751" s="58">
        <f t="shared" si="2"/>
        <v>33</v>
      </c>
      <c r="C1751" s="125"/>
      <c r="D1751" s="59"/>
      <c r="E1751" s="60"/>
      <c r="F1751" s="61"/>
      <c r="G1751"/>
      <c r="H1751"/>
      <c r="I1751" s="78"/>
      <c r="J1751" s="62"/>
      <c r="K1751" s="107"/>
      <c r="L1751" s="99"/>
      <c r="M1751" s="124"/>
    </row>
    <row r="1752" spans="1:14" x14ac:dyDescent="0.35">
      <c r="B1752" s="58">
        <f t="shared" si="2"/>
        <v>34</v>
      </c>
      <c r="C1752" s="125"/>
      <c r="D1752" s="59"/>
      <c r="E1752" s="60"/>
      <c r="F1752" s="61"/>
      <c r="G1752"/>
      <c r="H1752"/>
      <c r="I1752" s="78"/>
      <c r="J1752" s="62"/>
      <c r="K1752" s="107"/>
      <c r="L1752" s="99"/>
      <c r="M1752" s="124"/>
    </row>
    <row r="1753" spans="1:14" x14ac:dyDescent="0.35">
      <c r="B1753" s="58">
        <f t="shared" si="2"/>
        <v>35</v>
      </c>
      <c r="C1753" s="125"/>
      <c r="D1753" s="59"/>
      <c r="E1753" s="60"/>
      <c r="F1753" s="61"/>
      <c r="G1753"/>
      <c r="H1753"/>
      <c r="I1753" s="78"/>
      <c r="J1753" s="62"/>
      <c r="K1753" s="107"/>
      <c r="L1753" s="99"/>
      <c r="M1753" s="124"/>
    </row>
    <row r="1754" spans="1:14" x14ac:dyDescent="0.35">
      <c r="B1754" s="58">
        <f t="shared" si="2"/>
        <v>36</v>
      </c>
      <c r="C1754" s="125"/>
      <c r="D1754" s="59"/>
      <c r="E1754" s="60"/>
      <c r="F1754" s="61"/>
      <c r="G1754"/>
      <c r="H1754"/>
      <c r="I1754" s="78"/>
      <c r="J1754" s="62"/>
      <c r="K1754" s="107"/>
      <c r="L1754" s="99"/>
      <c r="M1754" s="124"/>
    </row>
    <row r="1755" spans="1:14" x14ac:dyDescent="0.35">
      <c r="B1755" s="58">
        <f t="shared" si="2"/>
        <v>37</v>
      </c>
      <c r="C1755" s="125"/>
      <c r="D1755" s="59"/>
      <c r="E1755" s="60"/>
      <c r="F1755" s="61"/>
      <c r="G1755"/>
      <c r="H1755"/>
      <c r="I1755" s="78"/>
      <c r="J1755" s="62"/>
      <c r="K1755" s="107"/>
      <c r="L1755" s="99"/>
      <c r="M1755" s="124"/>
    </row>
    <row r="1756" spans="1:14" x14ac:dyDescent="0.35">
      <c r="B1756" s="58">
        <f t="shared" si="2"/>
        <v>38</v>
      </c>
      <c r="C1756" s="125"/>
      <c r="D1756" s="59"/>
      <c r="E1756" s="60"/>
      <c r="F1756" s="61"/>
      <c r="G1756"/>
      <c r="H1756"/>
      <c r="I1756" s="78"/>
      <c r="J1756" s="62"/>
      <c r="K1756" s="107"/>
      <c r="L1756" s="99"/>
      <c r="M1756" s="124"/>
    </row>
    <row r="1757" spans="1:14" x14ac:dyDescent="0.35">
      <c r="B1757" s="58">
        <f t="shared" si="2"/>
        <v>39</v>
      </c>
      <c r="C1757" s="125"/>
      <c r="D1757" s="59"/>
      <c r="E1757" s="60"/>
      <c r="F1757" s="61"/>
      <c r="G1757"/>
      <c r="H1757"/>
      <c r="I1757" s="78"/>
      <c r="J1757" s="62"/>
      <c r="K1757" s="107"/>
      <c r="L1757" s="99"/>
      <c r="M1757" s="124"/>
    </row>
    <row r="1758" spans="1:14" x14ac:dyDescent="0.35">
      <c r="B1758" s="58">
        <f t="shared" si="2"/>
        <v>40</v>
      </c>
      <c r="C1758" s="125"/>
      <c r="D1758" s="59"/>
      <c r="E1758" s="60"/>
      <c r="F1758" s="61"/>
      <c r="G1758"/>
      <c r="H1758"/>
      <c r="I1758" s="78"/>
      <c r="J1758" s="62"/>
      <c r="K1758" s="107"/>
      <c r="L1758" s="99"/>
      <c r="M1758" s="124"/>
    </row>
    <row r="1759" spans="1:14" x14ac:dyDescent="0.35">
      <c r="B1759" s="58">
        <f t="shared" si="2"/>
        <v>41</v>
      </c>
      <c r="C1759" s="125"/>
      <c r="D1759" s="59"/>
      <c r="E1759" s="60"/>
      <c r="F1759" s="61"/>
      <c r="G1759"/>
      <c r="H1759"/>
      <c r="I1759" s="78"/>
      <c r="J1759" s="62"/>
      <c r="K1759" s="107"/>
      <c r="L1759" s="99"/>
      <c r="M1759" s="124"/>
    </row>
    <row r="1760" spans="1:14" x14ac:dyDescent="0.35">
      <c r="A1760" s="9"/>
      <c r="B1760" s="58">
        <f t="shared" si="2"/>
        <v>42</v>
      </c>
      <c r="C1760" s="125"/>
      <c r="D1760" s="59"/>
      <c r="E1760" s="60"/>
      <c r="F1760" s="61"/>
      <c r="G1760"/>
      <c r="H1760"/>
      <c r="I1760" s="78"/>
      <c r="J1760" s="62"/>
      <c r="K1760" s="107"/>
      <c r="L1760" s="99"/>
      <c r="M1760" s="124"/>
      <c r="N1760" s="9"/>
    </row>
    <row r="1761" spans="1:14" x14ac:dyDescent="0.35">
      <c r="A1761" s="9"/>
      <c r="B1761" s="58">
        <f t="shared" si="2"/>
        <v>43</v>
      </c>
      <c r="C1761" s="125"/>
      <c r="D1761" s="59"/>
      <c r="E1761" s="60"/>
      <c r="F1761" s="61"/>
      <c r="G1761"/>
      <c r="H1761"/>
      <c r="I1761" s="78"/>
      <c r="J1761" s="62"/>
      <c r="K1761" s="107"/>
      <c r="L1761" s="99"/>
      <c r="M1761" s="124"/>
      <c r="N1761" s="9"/>
    </row>
    <row r="1762" spans="1:14" x14ac:dyDescent="0.35">
      <c r="A1762" s="9"/>
      <c r="B1762" s="58">
        <f t="shared" si="2"/>
        <v>44</v>
      </c>
      <c r="C1762" s="125"/>
      <c r="D1762" s="59"/>
      <c r="E1762" s="60"/>
      <c r="F1762" s="61"/>
      <c r="G1762"/>
      <c r="H1762"/>
      <c r="I1762" s="78"/>
      <c r="J1762" s="62"/>
      <c r="K1762" s="107"/>
      <c r="L1762" s="99"/>
      <c r="M1762" s="124"/>
      <c r="N1762" s="9"/>
    </row>
    <row r="1763" spans="1:14" x14ac:dyDescent="0.35">
      <c r="A1763" s="9"/>
      <c r="B1763" s="58">
        <f t="shared" si="2"/>
        <v>45</v>
      </c>
      <c r="C1763" s="125"/>
      <c r="D1763" s="59"/>
      <c r="E1763" s="60"/>
      <c r="F1763" s="61"/>
      <c r="G1763"/>
      <c r="H1763"/>
      <c r="I1763" s="78"/>
      <c r="J1763" s="62"/>
      <c r="K1763" s="107"/>
      <c r="L1763" s="99"/>
      <c r="M1763" s="124"/>
      <c r="N1763" s="9"/>
    </row>
    <row r="1764" spans="1:14" x14ac:dyDescent="0.35">
      <c r="A1764" s="9"/>
      <c r="B1764" s="58">
        <f t="shared" si="2"/>
        <v>46</v>
      </c>
      <c r="C1764" s="125"/>
      <c r="D1764" s="59"/>
      <c r="E1764" s="60"/>
      <c r="F1764" s="61"/>
      <c r="G1764"/>
      <c r="H1764"/>
      <c r="I1764" s="78"/>
      <c r="J1764" s="62"/>
      <c r="K1764" s="107"/>
      <c r="L1764" s="99"/>
      <c r="M1764" s="124"/>
      <c r="N1764" s="9"/>
    </row>
    <row r="1765" spans="1:14" x14ac:dyDescent="0.35">
      <c r="A1765" s="9"/>
      <c r="B1765" s="58">
        <f t="shared" si="2"/>
        <v>47</v>
      </c>
      <c r="C1765" s="125"/>
      <c r="D1765" s="59"/>
      <c r="E1765" s="60"/>
      <c r="F1765" s="61"/>
      <c r="G1765"/>
      <c r="H1765"/>
      <c r="I1765" s="78"/>
      <c r="J1765" s="62"/>
      <c r="K1765" s="107"/>
      <c r="L1765" s="99"/>
      <c r="M1765" s="124"/>
      <c r="N1765" s="9"/>
    </row>
    <row r="1766" spans="1:14" x14ac:dyDescent="0.35">
      <c r="A1766" s="9"/>
      <c r="B1766" s="58">
        <f t="shared" si="2"/>
        <v>48</v>
      </c>
      <c r="C1766" s="125"/>
      <c r="D1766" s="59"/>
      <c r="E1766" s="60"/>
      <c r="F1766" s="61"/>
      <c r="G1766"/>
      <c r="H1766"/>
      <c r="I1766" s="78"/>
      <c r="J1766" s="62"/>
      <c r="K1766" s="107"/>
      <c r="L1766" s="99"/>
      <c r="M1766" s="124"/>
      <c r="N1766" s="9"/>
    </row>
    <row r="1767" spans="1:14" x14ac:dyDescent="0.35">
      <c r="A1767" s="9"/>
      <c r="B1767" s="58">
        <f t="shared" si="2"/>
        <v>49</v>
      </c>
      <c r="C1767" s="125"/>
      <c r="D1767" s="59"/>
      <c r="E1767" s="60"/>
      <c r="F1767" s="61"/>
      <c r="G1767"/>
      <c r="H1767"/>
      <c r="I1767" s="78"/>
      <c r="J1767" s="62"/>
      <c r="K1767" s="107"/>
      <c r="L1767" s="99"/>
      <c r="M1767" s="124"/>
      <c r="N1767" s="9"/>
    </row>
    <row r="1768" spans="1:14" x14ac:dyDescent="0.35">
      <c r="A1768" s="9"/>
      <c r="B1768" s="58">
        <f t="shared" si="2"/>
        <v>50</v>
      </c>
      <c r="C1768" s="125"/>
      <c r="D1768" s="59"/>
      <c r="E1768" s="60"/>
      <c r="F1768" s="61"/>
      <c r="G1768"/>
      <c r="H1768"/>
      <c r="I1768" s="78"/>
      <c r="J1768" s="62"/>
      <c r="K1768" s="107"/>
      <c r="L1768" s="99"/>
      <c r="M1768" s="124"/>
      <c r="N1768" s="9"/>
    </row>
    <row r="1769" spans="1:14" x14ac:dyDescent="0.35">
      <c r="A1769" s="9"/>
      <c r="B1769" s="58">
        <f t="shared" si="2"/>
        <v>51</v>
      </c>
      <c r="C1769" s="125"/>
      <c r="D1769" s="59"/>
      <c r="E1769" s="60"/>
      <c r="F1769" s="61"/>
      <c r="G1769"/>
      <c r="H1769"/>
      <c r="I1769" s="78"/>
      <c r="J1769" s="62"/>
      <c r="K1769" s="107"/>
      <c r="L1769" s="99"/>
      <c r="M1769" s="124"/>
      <c r="N1769" s="9"/>
    </row>
    <row r="1770" spans="1:14" x14ac:dyDescent="0.35">
      <c r="A1770" s="9"/>
      <c r="B1770" s="58">
        <f t="shared" si="2"/>
        <v>52</v>
      </c>
      <c r="C1770" s="125"/>
      <c r="D1770" s="59"/>
      <c r="E1770" s="60"/>
      <c r="F1770" s="61"/>
      <c r="G1770"/>
      <c r="H1770"/>
      <c r="I1770" s="78"/>
      <c r="J1770" s="62"/>
      <c r="K1770" s="107"/>
      <c r="L1770" s="99"/>
      <c r="M1770" s="124"/>
      <c r="N1770" s="9"/>
    </row>
    <row r="1771" spans="1:14" x14ac:dyDescent="0.35">
      <c r="A1771" s="9"/>
      <c r="B1771" s="58">
        <f t="shared" si="2"/>
        <v>53</v>
      </c>
      <c r="C1771" s="125"/>
      <c r="D1771" s="59"/>
      <c r="E1771" s="60"/>
      <c r="F1771" s="61"/>
      <c r="G1771"/>
      <c r="H1771"/>
      <c r="I1771" s="78"/>
      <c r="J1771" s="62"/>
      <c r="K1771" s="107"/>
      <c r="L1771" s="99"/>
      <c r="M1771" s="124"/>
      <c r="N1771" s="9"/>
    </row>
    <row r="1772" spans="1:14" x14ac:dyDescent="0.35">
      <c r="A1772" s="9"/>
      <c r="B1772" s="58">
        <f t="shared" si="2"/>
        <v>54</v>
      </c>
      <c r="C1772" s="125"/>
      <c r="D1772" s="59"/>
      <c r="E1772" s="60"/>
      <c r="F1772" s="61"/>
      <c r="G1772"/>
      <c r="H1772"/>
      <c r="I1772" s="78"/>
      <c r="J1772" s="62"/>
      <c r="K1772" s="107"/>
      <c r="L1772" s="99"/>
      <c r="M1772" s="124"/>
      <c r="N1772" s="9"/>
    </row>
    <row r="1773" spans="1:14" x14ac:dyDescent="0.35">
      <c r="A1773" s="9"/>
      <c r="B1773" s="58">
        <f t="shared" si="2"/>
        <v>55</v>
      </c>
      <c r="C1773" s="125"/>
      <c r="D1773" s="59"/>
      <c r="E1773" s="60"/>
      <c r="F1773" s="61"/>
      <c r="G1773"/>
      <c r="H1773"/>
      <c r="I1773" s="78"/>
      <c r="L1773" s="99"/>
      <c r="M1773" s="124"/>
      <c r="N1773" s="9"/>
    </row>
    <row r="1774" spans="1:14" x14ac:dyDescent="0.35">
      <c r="A1774" s="9"/>
      <c r="B1774" s="58">
        <f t="shared" si="2"/>
        <v>56</v>
      </c>
      <c r="C1774" s="125"/>
      <c r="D1774" s="59"/>
      <c r="E1774" s="60"/>
      <c r="F1774" s="61"/>
      <c r="G1774"/>
      <c r="H1774"/>
      <c r="I1774" s="78"/>
      <c r="L1774" s="99"/>
      <c r="M1774" s="124"/>
      <c r="N1774" s="9"/>
    </row>
    <row r="1775" spans="1:14" x14ac:dyDescent="0.35">
      <c r="A1775" s="9"/>
      <c r="B1775" s="58">
        <f t="shared" si="2"/>
        <v>57</v>
      </c>
      <c r="C1775" s="125"/>
      <c r="D1775" s="59"/>
      <c r="E1775" s="60"/>
      <c r="F1775" s="61"/>
      <c r="G1775"/>
      <c r="H1775"/>
      <c r="I1775" s="78"/>
      <c r="L1775" s="99"/>
      <c r="M1775" s="124"/>
      <c r="N1775" s="9"/>
    </row>
    <row r="1776" spans="1:14" x14ac:dyDescent="0.35">
      <c r="A1776" s="9"/>
      <c r="B1776" s="58">
        <f t="shared" si="2"/>
        <v>58</v>
      </c>
      <c r="C1776" s="125"/>
      <c r="D1776" s="59"/>
      <c r="E1776" s="60"/>
      <c r="F1776" s="61"/>
      <c r="G1776"/>
      <c r="H1776"/>
      <c r="I1776" s="78"/>
      <c r="L1776" s="99"/>
      <c r="M1776" s="124"/>
      <c r="N1776" s="9"/>
    </row>
    <row r="1777" spans="1:14" x14ac:dyDescent="0.35">
      <c r="A1777" s="9"/>
      <c r="B1777" s="58">
        <f t="shared" si="2"/>
        <v>59</v>
      </c>
      <c r="C1777" s="125"/>
      <c r="D1777" s="59"/>
      <c r="E1777" s="60"/>
      <c r="F1777" s="61"/>
      <c r="G1777"/>
      <c r="H1777"/>
      <c r="I1777" s="78"/>
      <c r="L1777" s="99"/>
      <c r="M1777" s="124"/>
      <c r="N1777" s="9"/>
    </row>
    <row r="1778" spans="1:14" x14ac:dyDescent="0.35">
      <c r="A1778" s="9"/>
      <c r="B1778" s="58">
        <f t="shared" si="2"/>
        <v>60</v>
      </c>
      <c r="C1778" s="125"/>
      <c r="D1778" s="59"/>
      <c r="E1778" s="60"/>
      <c r="F1778" s="61"/>
      <c r="G1778"/>
      <c r="H1778"/>
      <c r="I1778" s="78"/>
      <c r="L1778" s="99"/>
      <c r="M1778" s="124"/>
      <c r="N1778" s="9"/>
    </row>
    <row r="1779" spans="1:14" x14ac:dyDescent="0.35">
      <c r="A1779" s="9"/>
      <c r="B1779" s="58">
        <f t="shared" si="2"/>
        <v>61</v>
      </c>
      <c r="C1779" s="125"/>
      <c r="D1779" s="59"/>
      <c r="E1779" s="60"/>
      <c r="F1779" s="61"/>
      <c r="G1779"/>
      <c r="H1779"/>
      <c r="I1779" s="78"/>
      <c r="L1779" s="99"/>
      <c r="M1779" s="124"/>
      <c r="N1779" s="9"/>
    </row>
    <row r="1780" spans="1:14" x14ac:dyDescent="0.35">
      <c r="A1780" s="9"/>
      <c r="B1780" s="58">
        <f t="shared" si="2"/>
        <v>62</v>
      </c>
      <c r="C1780" s="125"/>
      <c r="D1780" s="59"/>
      <c r="E1780" s="60"/>
      <c r="F1780" s="61"/>
      <c r="G1780"/>
      <c r="H1780"/>
      <c r="I1780" s="78"/>
      <c r="L1780" s="99"/>
      <c r="M1780" s="124"/>
      <c r="N1780" s="9"/>
    </row>
    <row r="1781" spans="1:14" x14ac:dyDescent="0.35">
      <c r="A1781" s="9"/>
      <c r="B1781" s="58">
        <f t="shared" si="2"/>
        <v>63</v>
      </c>
      <c r="C1781" s="125"/>
      <c r="D1781" s="59"/>
      <c r="E1781" s="60"/>
      <c r="F1781" s="61"/>
      <c r="G1781"/>
      <c r="H1781"/>
      <c r="I1781" s="78"/>
      <c r="L1781" s="99"/>
      <c r="M1781" s="124"/>
      <c r="N1781" s="9"/>
    </row>
    <row r="1782" spans="1:14" x14ac:dyDescent="0.35">
      <c r="A1782" s="9"/>
      <c r="B1782" s="58">
        <f t="shared" si="2"/>
        <v>64</v>
      </c>
      <c r="C1782" s="125"/>
      <c r="D1782" s="59"/>
      <c r="E1782" s="60"/>
      <c r="F1782" s="61"/>
      <c r="G1782"/>
      <c r="H1782"/>
      <c r="I1782" s="78"/>
      <c r="L1782" s="99"/>
      <c r="M1782" s="124"/>
      <c r="N1782" s="9"/>
    </row>
    <row r="1783" spans="1:14" x14ac:dyDescent="0.35">
      <c r="A1783" s="9"/>
      <c r="B1783" s="58">
        <f t="shared" ref="B1783:B1822" si="3">B1782+1</f>
        <v>65</v>
      </c>
      <c r="C1783" s="125"/>
      <c r="D1783" s="59"/>
      <c r="E1783" s="60"/>
      <c r="F1783" s="61"/>
      <c r="G1783"/>
      <c r="H1783"/>
      <c r="I1783" s="78"/>
      <c r="L1783" s="99"/>
      <c r="M1783" s="124"/>
      <c r="N1783" s="9"/>
    </row>
    <row r="1784" spans="1:14" x14ac:dyDescent="0.35">
      <c r="A1784" s="9"/>
      <c r="B1784" s="58">
        <f t="shared" si="3"/>
        <v>66</v>
      </c>
      <c r="C1784" s="125"/>
      <c r="D1784" s="59"/>
      <c r="E1784" s="60"/>
      <c r="F1784" s="61"/>
      <c r="G1784"/>
      <c r="H1784"/>
      <c r="I1784" s="78"/>
      <c r="L1784" s="99"/>
      <c r="M1784" s="124"/>
      <c r="N1784" s="9"/>
    </row>
    <row r="1785" spans="1:14" x14ac:dyDescent="0.35">
      <c r="A1785" s="9"/>
      <c r="B1785" s="58">
        <f t="shared" si="3"/>
        <v>67</v>
      </c>
      <c r="C1785" s="125"/>
      <c r="D1785" s="59"/>
      <c r="E1785" s="60"/>
      <c r="F1785" s="61"/>
      <c r="G1785"/>
      <c r="H1785"/>
      <c r="I1785" s="78"/>
      <c r="L1785" s="99"/>
      <c r="M1785" s="124"/>
      <c r="N1785" s="9"/>
    </row>
    <row r="1786" spans="1:14" x14ac:dyDescent="0.35">
      <c r="A1786" s="9"/>
      <c r="B1786" s="58">
        <f t="shared" si="3"/>
        <v>68</v>
      </c>
      <c r="C1786" s="125"/>
      <c r="D1786" s="59"/>
      <c r="E1786" s="60"/>
      <c r="F1786" s="61"/>
      <c r="G1786"/>
      <c r="H1786"/>
      <c r="I1786" s="78"/>
      <c r="L1786" s="99"/>
      <c r="M1786" s="124"/>
      <c r="N1786" s="9"/>
    </row>
    <row r="1787" spans="1:14" x14ac:dyDescent="0.35">
      <c r="A1787" s="9"/>
      <c r="B1787" s="58">
        <f t="shared" si="3"/>
        <v>69</v>
      </c>
      <c r="C1787" s="125"/>
      <c r="D1787" s="59"/>
      <c r="E1787" s="60"/>
      <c r="F1787" s="61"/>
      <c r="G1787"/>
      <c r="H1787"/>
      <c r="I1787" s="78"/>
      <c r="L1787" s="99"/>
      <c r="M1787" s="124"/>
      <c r="N1787" s="9"/>
    </row>
    <row r="1788" spans="1:14" x14ac:dyDescent="0.35">
      <c r="A1788" s="9"/>
      <c r="B1788" s="58">
        <f t="shared" si="3"/>
        <v>70</v>
      </c>
      <c r="C1788" s="125"/>
      <c r="D1788" s="59"/>
      <c r="E1788" s="60"/>
      <c r="F1788" s="61"/>
      <c r="G1788"/>
      <c r="H1788"/>
      <c r="I1788" s="78"/>
      <c r="L1788" s="99"/>
      <c r="M1788" s="124"/>
      <c r="N1788" s="9"/>
    </row>
    <row r="1789" spans="1:14" x14ac:dyDescent="0.35">
      <c r="A1789" s="9"/>
      <c r="B1789" s="58">
        <f t="shared" si="3"/>
        <v>71</v>
      </c>
      <c r="C1789" s="125"/>
      <c r="D1789" s="59"/>
      <c r="E1789" s="60"/>
      <c r="F1789" s="61"/>
      <c r="G1789"/>
      <c r="H1789"/>
      <c r="I1789" s="78"/>
      <c r="L1789" s="99"/>
      <c r="M1789" s="124"/>
      <c r="N1789" s="9"/>
    </row>
    <row r="1790" spans="1:14" x14ac:dyDescent="0.35">
      <c r="A1790" s="9"/>
      <c r="B1790" s="58">
        <f t="shared" si="3"/>
        <v>72</v>
      </c>
      <c r="C1790" s="125"/>
      <c r="D1790" s="59"/>
      <c r="E1790" s="60"/>
      <c r="F1790" s="61"/>
      <c r="G1790"/>
      <c r="H1790"/>
      <c r="I1790" s="78"/>
      <c r="L1790" s="99"/>
      <c r="M1790" s="124"/>
      <c r="N1790" s="9"/>
    </row>
    <row r="1791" spans="1:14" x14ac:dyDescent="0.35">
      <c r="A1791" s="9"/>
      <c r="B1791" s="58">
        <f t="shared" si="3"/>
        <v>73</v>
      </c>
      <c r="C1791" s="125"/>
      <c r="D1791" s="59"/>
      <c r="E1791" s="60"/>
      <c r="F1791" s="61"/>
      <c r="G1791"/>
      <c r="H1791"/>
      <c r="I1791" s="78"/>
      <c r="L1791" s="99"/>
      <c r="M1791" s="124"/>
      <c r="N1791" s="9"/>
    </row>
    <row r="1792" spans="1:14" x14ac:dyDescent="0.35">
      <c r="A1792" s="9"/>
      <c r="B1792" s="58">
        <f t="shared" si="3"/>
        <v>74</v>
      </c>
      <c r="C1792" s="125"/>
      <c r="D1792" s="59"/>
      <c r="E1792" s="60"/>
      <c r="F1792" s="61"/>
      <c r="G1792"/>
      <c r="H1792"/>
      <c r="I1792" s="78"/>
      <c r="L1792" s="99"/>
      <c r="M1792" s="124"/>
      <c r="N1792" s="9"/>
    </row>
    <row r="1793" spans="1:14" x14ac:dyDescent="0.35">
      <c r="A1793" s="9"/>
      <c r="B1793" s="58">
        <f t="shared" si="3"/>
        <v>75</v>
      </c>
      <c r="C1793" s="125"/>
      <c r="D1793" s="59"/>
      <c r="E1793" s="60"/>
      <c r="F1793" s="61"/>
      <c r="G1793"/>
      <c r="H1793"/>
      <c r="I1793" s="78"/>
      <c r="L1793" s="99"/>
      <c r="M1793" s="124"/>
      <c r="N1793" s="9"/>
    </row>
    <row r="1794" spans="1:14" x14ac:dyDescent="0.35">
      <c r="A1794" s="9"/>
      <c r="B1794" s="58">
        <f t="shared" si="3"/>
        <v>76</v>
      </c>
      <c r="C1794" s="125"/>
      <c r="D1794" s="59"/>
      <c r="E1794" s="60"/>
      <c r="F1794" s="61"/>
      <c r="G1794"/>
      <c r="H1794"/>
      <c r="I1794" s="78"/>
      <c r="L1794" s="99"/>
      <c r="M1794" s="124"/>
      <c r="N1794" s="9"/>
    </row>
    <row r="1795" spans="1:14" x14ac:dyDescent="0.35">
      <c r="A1795" s="9"/>
      <c r="B1795" s="58">
        <f t="shared" si="3"/>
        <v>77</v>
      </c>
      <c r="C1795" s="125"/>
      <c r="D1795" s="59"/>
      <c r="E1795" s="60"/>
      <c r="F1795" s="61"/>
      <c r="G1795"/>
      <c r="H1795"/>
      <c r="I1795" s="78"/>
      <c r="L1795" s="99"/>
      <c r="M1795" s="124"/>
      <c r="N1795" s="9"/>
    </row>
    <row r="1796" spans="1:14" x14ac:dyDescent="0.35">
      <c r="A1796" s="9"/>
      <c r="B1796" s="58">
        <f t="shared" si="3"/>
        <v>78</v>
      </c>
      <c r="C1796" s="125"/>
      <c r="D1796" s="59"/>
      <c r="E1796" s="60"/>
      <c r="F1796" s="61"/>
      <c r="G1796"/>
      <c r="H1796"/>
      <c r="I1796" s="78"/>
      <c r="L1796" s="99"/>
      <c r="M1796" s="124"/>
      <c r="N1796" s="9"/>
    </row>
    <row r="1797" spans="1:14" x14ac:dyDescent="0.35">
      <c r="A1797" s="9"/>
      <c r="B1797" s="58">
        <f t="shared" si="3"/>
        <v>79</v>
      </c>
      <c r="C1797" s="125"/>
      <c r="D1797" s="59"/>
      <c r="E1797" s="60"/>
      <c r="F1797" s="61"/>
      <c r="G1797"/>
      <c r="H1797"/>
      <c r="I1797" s="78"/>
      <c r="L1797" s="99"/>
      <c r="M1797" s="124"/>
      <c r="N1797" s="9"/>
    </row>
    <row r="1798" spans="1:14" x14ac:dyDescent="0.35">
      <c r="A1798" s="9"/>
      <c r="B1798" s="58">
        <f t="shared" si="3"/>
        <v>80</v>
      </c>
      <c r="C1798" s="125"/>
      <c r="D1798" s="59"/>
      <c r="E1798" s="60"/>
      <c r="F1798" s="61"/>
      <c r="G1798"/>
      <c r="H1798"/>
      <c r="I1798" s="78"/>
      <c r="L1798" s="99"/>
      <c r="M1798" s="124"/>
      <c r="N1798" s="9"/>
    </row>
    <row r="1799" spans="1:14" x14ac:dyDescent="0.35">
      <c r="A1799" s="9"/>
      <c r="B1799" s="58">
        <f t="shared" si="3"/>
        <v>81</v>
      </c>
      <c r="C1799" s="125"/>
      <c r="D1799" s="59"/>
      <c r="E1799" s="60"/>
      <c r="F1799" s="61"/>
      <c r="G1799"/>
      <c r="H1799"/>
      <c r="I1799" s="78"/>
      <c r="L1799" s="99"/>
      <c r="M1799" s="124"/>
      <c r="N1799" s="9"/>
    </row>
    <row r="1800" spans="1:14" x14ac:dyDescent="0.35">
      <c r="A1800" s="9"/>
      <c r="B1800" s="58">
        <f t="shared" si="3"/>
        <v>82</v>
      </c>
      <c r="C1800" s="125"/>
      <c r="D1800" s="59"/>
      <c r="E1800" s="60"/>
      <c r="F1800" s="61"/>
      <c r="G1800"/>
      <c r="H1800"/>
      <c r="I1800" s="78"/>
      <c r="L1800" s="99"/>
      <c r="M1800" s="124"/>
      <c r="N1800" s="9"/>
    </row>
    <row r="1801" spans="1:14" x14ac:dyDescent="0.35">
      <c r="A1801" s="9"/>
      <c r="B1801" s="58">
        <f t="shared" si="3"/>
        <v>83</v>
      </c>
      <c r="C1801" s="125"/>
      <c r="D1801" s="59"/>
      <c r="E1801" s="60"/>
      <c r="F1801" s="61"/>
      <c r="G1801"/>
      <c r="H1801"/>
      <c r="I1801" s="78"/>
      <c r="L1801" s="99"/>
      <c r="M1801" s="124"/>
      <c r="N1801" s="9"/>
    </row>
    <row r="1802" spans="1:14" x14ac:dyDescent="0.35">
      <c r="A1802" s="9"/>
      <c r="B1802" s="58">
        <f t="shared" si="3"/>
        <v>84</v>
      </c>
      <c r="C1802" s="125"/>
      <c r="D1802" s="59"/>
      <c r="E1802" s="60"/>
      <c r="F1802" s="61"/>
      <c r="G1802"/>
      <c r="H1802"/>
      <c r="I1802" s="78"/>
      <c r="L1802" s="99"/>
      <c r="M1802" s="124"/>
      <c r="N1802" s="9"/>
    </row>
    <row r="1803" spans="1:14" x14ac:dyDescent="0.35">
      <c r="A1803" s="9"/>
      <c r="B1803" s="58">
        <f t="shared" si="3"/>
        <v>85</v>
      </c>
      <c r="C1803" s="125"/>
      <c r="D1803" s="59"/>
      <c r="E1803" s="60"/>
      <c r="F1803" s="61"/>
      <c r="G1803"/>
      <c r="H1803"/>
      <c r="I1803" s="78"/>
      <c r="L1803" s="99"/>
      <c r="M1803" s="124"/>
      <c r="N1803" s="9"/>
    </row>
    <row r="1804" spans="1:14" x14ac:dyDescent="0.35">
      <c r="A1804" s="9"/>
      <c r="B1804" s="58">
        <f t="shared" si="3"/>
        <v>86</v>
      </c>
      <c r="C1804" s="125"/>
      <c r="D1804" s="59"/>
      <c r="E1804" s="60"/>
      <c r="F1804" s="61"/>
      <c r="G1804"/>
      <c r="H1804"/>
      <c r="I1804" s="78"/>
      <c r="L1804" s="99"/>
      <c r="M1804" s="124"/>
      <c r="N1804" s="9"/>
    </row>
    <row r="1805" spans="1:14" x14ac:dyDescent="0.35">
      <c r="A1805" s="9"/>
      <c r="B1805" s="58">
        <f t="shared" si="3"/>
        <v>87</v>
      </c>
      <c r="C1805" s="125"/>
      <c r="D1805" s="59"/>
      <c r="E1805" s="60"/>
      <c r="F1805" s="61"/>
      <c r="G1805"/>
      <c r="H1805"/>
      <c r="I1805" s="78"/>
      <c r="L1805" s="99"/>
      <c r="M1805" s="124"/>
      <c r="N1805" s="9"/>
    </row>
    <row r="1806" spans="1:14" x14ac:dyDescent="0.35">
      <c r="A1806" s="9"/>
      <c r="B1806" s="58">
        <f t="shared" si="3"/>
        <v>88</v>
      </c>
      <c r="C1806" s="125"/>
      <c r="D1806" s="59"/>
      <c r="E1806" s="60"/>
      <c r="F1806" s="61"/>
      <c r="G1806"/>
      <c r="H1806"/>
      <c r="I1806" s="78"/>
      <c r="L1806" s="99"/>
      <c r="M1806" s="124"/>
      <c r="N1806" s="9"/>
    </row>
    <row r="1807" spans="1:14" x14ac:dyDescent="0.35">
      <c r="A1807" s="9"/>
      <c r="B1807" s="58">
        <f t="shared" si="3"/>
        <v>89</v>
      </c>
      <c r="C1807" s="125"/>
      <c r="D1807" s="59"/>
      <c r="E1807" s="60"/>
      <c r="F1807" s="61"/>
      <c r="G1807"/>
      <c r="H1807"/>
      <c r="I1807" s="78"/>
      <c r="L1807" s="99"/>
      <c r="M1807" s="124"/>
      <c r="N1807" s="9"/>
    </row>
    <row r="1808" spans="1:14" x14ac:dyDescent="0.35">
      <c r="A1808" s="9"/>
      <c r="B1808" s="58">
        <f t="shared" si="3"/>
        <v>90</v>
      </c>
      <c r="C1808" s="125"/>
      <c r="D1808" s="59"/>
      <c r="E1808" s="60"/>
      <c r="F1808" s="61"/>
      <c r="G1808"/>
      <c r="H1808"/>
      <c r="I1808" s="78"/>
      <c r="L1808" s="99"/>
      <c r="M1808" s="124"/>
      <c r="N1808" s="9"/>
    </row>
    <row r="1809" spans="1:14" x14ac:dyDescent="0.35">
      <c r="A1809" s="9"/>
      <c r="B1809" s="58">
        <f t="shared" si="3"/>
        <v>91</v>
      </c>
      <c r="C1809" s="125"/>
      <c r="D1809" s="59"/>
      <c r="E1809" s="60"/>
      <c r="F1809" s="61"/>
      <c r="G1809"/>
      <c r="H1809"/>
      <c r="I1809" s="78"/>
      <c r="L1809" s="99"/>
      <c r="M1809" s="124"/>
      <c r="N1809" s="9"/>
    </row>
    <row r="1810" spans="1:14" x14ac:dyDescent="0.35">
      <c r="A1810" s="9"/>
      <c r="B1810" s="58">
        <f t="shared" si="3"/>
        <v>92</v>
      </c>
      <c r="C1810" s="125"/>
      <c r="D1810" s="59"/>
      <c r="E1810" s="60"/>
      <c r="F1810" s="61"/>
      <c r="G1810"/>
      <c r="H1810"/>
      <c r="I1810" s="78"/>
      <c r="L1810" s="99"/>
      <c r="M1810" s="124"/>
      <c r="N1810" s="9"/>
    </row>
    <row r="1811" spans="1:14" x14ac:dyDescent="0.35">
      <c r="A1811" s="9"/>
      <c r="B1811" s="58">
        <f t="shared" si="3"/>
        <v>93</v>
      </c>
      <c r="C1811" s="125"/>
      <c r="D1811" s="59"/>
      <c r="E1811" s="60"/>
      <c r="F1811" s="61"/>
      <c r="G1811"/>
      <c r="H1811"/>
      <c r="I1811" s="78"/>
      <c r="L1811" s="99"/>
      <c r="M1811" s="124"/>
      <c r="N1811" s="9"/>
    </row>
    <row r="1812" spans="1:14" x14ac:dyDescent="0.35">
      <c r="A1812" s="9"/>
      <c r="B1812" s="58">
        <f t="shared" si="3"/>
        <v>94</v>
      </c>
      <c r="C1812" s="125"/>
      <c r="D1812" s="59"/>
      <c r="E1812" s="60"/>
      <c r="F1812" s="61"/>
      <c r="G1812"/>
      <c r="H1812"/>
      <c r="I1812" s="78"/>
      <c r="L1812" s="99"/>
      <c r="M1812" s="124"/>
      <c r="N1812" s="9"/>
    </row>
    <row r="1813" spans="1:14" x14ac:dyDescent="0.35">
      <c r="A1813" s="9"/>
      <c r="B1813" s="58">
        <f t="shared" si="3"/>
        <v>95</v>
      </c>
      <c r="C1813" s="125"/>
      <c r="D1813" s="59"/>
      <c r="E1813" s="60"/>
      <c r="F1813" s="61"/>
      <c r="G1813"/>
      <c r="H1813"/>
      <c r="I1813" s="78"/>
      <c r="L1813" s="99"/>
      <c r="M1813" s="124"/>
      <c r="N1813" s="9"/>
    </row>
    <row r="1814" spans="1:14" x14ac:dyDescent="0.35">
      <c r="A1814" s="9"/>
      <c r="B1814" s="58">
        <f t="shared" si="3"/>
        <v>96</v>
      </c>
      <c r="C1814" s="125"/>
      <c r="D1814" s="59"/>
      <c r="E1814" s="60"/>
      <c r="F1814" s="61"/>
      <c r="G1814"/>
      <c r="H1814"/>
      <c r="I1814" s="78"/>
      <c r="L1814" s="99"/>
      <c r="M1814" s="124"/>
      <c r="N1814" s="9"/>
    </row>
    <row r="1815" spans="1:14" x14ac:dyDescent="0.35">
      <c r="A1815" s="9"/>
      <c r="B1815" s="58">
        <f t="shared" si="3"/>
        <v>97</v>
      </c>
      <c r="C1815" s="125"/>
      <c r="D1815" s="59"/>
      <c r="E1815" s="60"/>
      <c r="F1815" s="61"/>
      <c r="G1815"/>
      <c r="H1815"/>
      <c r="I1815" s="78"/>
      <c r="L1815" s="99"/>
      <c r="M1815" s="124"/>
      <c r="N1815" s="9"/>
    </row>
    <row r="1816" spans="1:14" x14ac:dyDescent="0.35">
      <c r="A1816" s="9"/>
      <c r="B1816" s="58">
        <f t="shared" si="3"/>
        <v>98</v>
      </c>
      <c r="C1816" s="125"/>
      <c r="D1816" s="59"/>
      <c r="E1816" s="60"/>
      <c r="F1816" s="61"/>
      <c r="G1816"/>
      <c r="H1816"/>
      <c r="I1816" s="78"/>
      <c r="L1816" s="99"/>
      <c r="M1816" s="124"/>
      <c r="N1816" s="9"/>
    </row>
    <row r="1817" spans="1:14" x14ac:dyDescent="0.35">
      <c r="A1817" s="9"/>
      <c r="B1817" s="58">
        <f t="shared" si="3"/>
        <v>99</v>
      </c>
      <c r="C1817" s="125"/>
      <c r="D1817" s="59"/>
      <c r="E1817" s="60"/>
      <c r="F1817" s="61"/>
      <c r="G1817"/>
      <c r="H1817"/>
      <c r="I1817" s="78"/>
      <c r="L1817" s="99"/>
      <c r="M1817" s="124"/>
      <c r="N1817" s="9"/>
    </row>
    <row r="1818" spans="1:14" x14ac:dyDescent="0.35">
      <c r="A1818" s="9"/>
      <c r="B1818" s="58">
        <f t="shared" si="3"/>
        <v>100</v>
      </c>
      <c r="C1818" s="125"/>
      <c r="D1818" s="59"/>
      <c r="E1818" s="60"/>
      <c r="F1818" s="61"/>
      <c r="G1818"/>
      <c r="H1818"/>
      <c r="I1818" s="78"/>
      <c r="L1818" s="99"/>
      <c r="M1818" s="124"/>
      <c r="N1818" s="9"/>
    </row>
    <row r="1819" spans="1:14" x14ac:dyDescent="0.35">
      <c r="A1819" s="9"/>
      <c r="B1819" s="58">
        <f t="shared" si="3"/>
        <v>101</v>
      </c>
      <c r="C1819" s="125"/>
      <c r="D1819" s="59"/>
      <c r="E1819" s="60"/>
      <c r="F1819" s="61"/>
      <c r="G1819"/>
      <c r="H1819"/>
      <c r="I1819" s="78"/>
      <c r="L1819" s="99"/>
      <c r="M1819" s="124"/>
      <c r="N1819" s="9"/>
    </row>
    <row r="1820" spans="1:14" x14ac:dyDescent="0.35">
      <c r="A1820" s="9"/>
      <c r="B1820" s="58">
        <f t="shared" si="3"/>
        <v>102</v>
      </c>
      <c r="C1820" s="125"/>
      <c r="D1820" s="59"/>
      <c r="E1820" s="60"/>
      <c r="F1820" s="61"/>
      <c r="G1820"/>
      <c r="H1820"/>
      <c r="I1820" s="78"/>
      <c r="L1820" s="99"/>
      <c r="M1820" s="124"/>
      <c r="N1820" s="9"/>
    </row>
    <row r="1821" spans="1:14" x14ac:dyDescent="0.35">
      <c r="A1821" s="9"/>
      <c r="B1821" s="58">
        <f t="shared" si="3"/>
        <v>103</v>
      </c>
      <c r="C1821" s="125"/>
      <c r="D1821" s="59"/>
      <c r="E1821" s="60"/>
      <c r="F1821" s="61"/>
      <c r="G1821"/>
      <c r="H1821"/>
      <c r="I1821" s="78"/>
      <c r="L1821" s="99"/>
      <c r="M1821" s="124"/>
      <c r="N1821" s="9"/>
    </row>
    <row r="1822" spans="1:14" x14ac:dyDescent="0.35">
      <c r="A1822" s="9"/>
      <c r="B1822" s="58">
        <f t="shared" si="3"/>
        <v>104</v>
      </c>
      <c r="C1822" s="125"/>
      <c r="D1822" s="59"/>
      <c r="E1822" s="60"/>
      <c r="F1822" s="61"/>
      <c r="G1822"/>
      <c r="H1822"/>
      <c r="I1822" s="78"/>
      <c r="L1822" s="99"/>
      <c r="M1822" s="124"/>
      <c r="N1822" s="9"/>
    </row>
    <row r="1823" spans="1:14" x14ac:dyDescent="0.35">
      <c r="A1823" s="9"/>
      <c r="B1823" s="58"/>
      <c r="C1823" s="125"/>
      <c r="D1823" s="59"/>
      <c r="E1823" s="60"/>
      <c r="F1823" s="61"/>
      <c r="G1823"/>
      <c r="H1823"/>
      <c r="I1823" s="78"/>
      <c r="L1823" s="99"/>
      <c r="M1823" s="124"/>
      <c r="N1823" s="9"/>
    </row>
    <row r="1824" spans="1:14" x14ac:dyDescent="0.35">
      <c r="A1824" s="9"/>
      <c r="B1824" s="58"/>
      <c r="C1824" s="125"/>
      <c r="D1824" s="59"/>
      <c r="E1824" s="60"/>
      <c r="F1824" s="61"/>
      <c r="G1824"/>
      <c r="H1824"/>
      <c r="I1824" s="78"/>
      <c r="L1824" s="99"/>
      <c r="M1824" s="124"/>
      <c r="N1824" s="9"/>
    </row>
    <row r="1825" spans="1:14" x14ac:dyDescent="0.35">
      <c r="A1825" s="9"/>
      <c r="B1825" s="58"/>
      <c r="C1825" s="125"/>
      <c r="D1825" s="59"/>
      <c r="E1825" s="60"/>
      <c r="F1825" s="61"/>
      <c r="G1825"/>
      <c r="H1825"/>
      <c r="I1825" s="78"/>
      <c r="L1825" s="99"/>
      <c r="M1825" s="124"/>
      <c r="N1825" s="9"/>
    </row>
    <row r="1826" spans="1:14" x14ac:dyDescent="0.35">
      <c r="A1826" s="9"/>
      <c r="B1826" s="58"/>
      <c r="C1826" s="125"/>
      <c r="D1826" s="59"/>
      <c r="E1826" s="60"/>
      <c r="F1826" s="61"/>
      <c r="G1826"/>
      <c r="H1826"/>
      <c r="I1826" s="78"/>
      <c r="L1826" s="99"/>
      <c r="M1826" s="124"/>
      <c r="N1826" s="9"/>
    </row>
    <row r="1827" spans="1:14" x14ac:dyDescent="0.35">
      <c r="A1827" s="9"/>
      <c r="B1827" s="58"/>
      <c r="C1827" s="125"/>
      <c r="D1827" s="59"/>
      <c r="E1827" s="60"/>
      <c r="F1827" s="61"/>
      <c r="G1827"/>
      <c r="H1827"/>
      <c r="I1827" s="78"/>
      <c r="L1827" s="99"/>
      <c r="M1827" s="124"/>
      <c r="N1827" s="9"/>
    </row>
    <row r="1828" spans="1:14" x14ac:dyDescent="0.35">
      <c r="A1828" s="9"/>
      <c r="B1828" s="58"/>
      <c r="C1828" s="125"/>
      <c r="D1828" s="59"/>
      <c r="E1828" s="60"/>
      <c r="F1828" s="61"/>
      <c r="G1828"/>
      <c r="H1828"/>
      <c r="I1828" s="78"/>
      <c r="L1828" s="99"/>
      <c r="M1828" s="124"/>
      <c r="N1828" s="9"/>
    </row>
    <row r="1829" spans="1:14" x14ac:dyDescent="0.35">
      <c r="A1829" s="9"/>
      <c r="B1829" s="58"/>
      <c r="C1829" s="125"/>
      <c r="D1829" s="59"/>
      <c r="E1829" s="60"/>
      <c r="F1829" s="61"/>
      <c r="G1829"/>
      <c r="H1829"/>
      <c r="I1829" s="78"/>
      <c r="L1829" s="99"/>
      <c r="M1829" s="124"/>
      <c r="N1829" s="9"/>
    </row>
    <row r="1830" spans="1:14" x14ac:dyDescent="0.35">
      <c r="A1830" s="9"/>
      <c r="B1830" s="58"/>
      <c r="C1830" s="125"/>
      <c r="D1830" s="59"/>
      <c r="E1830" s="60"/>
      <c r="F1830" s="61"/>
      <c r="G1830"/>
      <c r="H1830"/>
      <c r="I1830" s="78"/>
      <c r="L1830" s="99"/>
      <c r="M1830" s="124"/>
      <c r="N1830" s="9"/>
    </row>
    <row r="1831" spans="1:14" x14ac:dyDescent="0.35">
      <c r="A1831" s="9"/>
      <c r="B1831" s="58"/>
      <c r="C1831" s="125"/>
      <c r="D1831" s="59"/>
      <c r="E1831" s="60"/>
      <c r="F1831" s="61"/>
      <c r="G1831"/>
      <c r="H1831"/>
      <c r="I1831" s="78"/>
      <c r="L1831" s="99"/>
      <c r="M1831" s="124"/>
      <c r="N1831" s="9"/>
    </row>
    <row r="1832" spans="1:14" x14ac:dyDescent="0.35">
      <c r="A1832" s="9"/>
      <c r="B1832" s="58"/>
      <c r="C1832" s="125"/>
      <c r="D1832" s="59"/>
      <c r="E1832" s="60"/>
      <c r="F1832" s="61"/>
      <c r="G1832"/>
      <c r="H1832"/>
      <c r="I1832" s="78"/>
      <c r="L1832" s="99"/>
      <c r="M1832" s="124"/>
      <c r="N1832" s="9"/>
    </row>
    <row r="1833" spans="1:14" x14ac:dyDescent="0.35">
      <c r="A1833" s="9"/>
      <c r="B1833" s="58"/>
      <c r="C1833" s="125"/>
      <c r="D1833" s="59"/>
      <c r="E1833" s="60"/>
      <c r="F1833" s="61"/>
      <c r="G1833"/>
      <c r="H1833"/>
      <c r="I1833" s="78"/>
      <c r="L1833" s="99"/>
      <c r="M1833" s="124"/>
      <c r="N1833" s="9"/>
    </row>
    <row r="1834" spans="1:14" x14ac:dyDescent="0.35">
      <c r="A1834" s="9"/>
      <c r="B1834" s="58"/>
      <c r="C1834" s="125"/>
      <c r="D1834" s="59"/>
      <c r="E1834" s="60"/>
      <c r="F1834" s="61"/>
      <c r="G1834"/>
      <c r="H1834"/>
      <c r="I1834" s="78"/>
      <c r="L1834" s="99"/>
      <c r="M1834" s="124"/>
      <c r="N1834" s="9"/>
    </row>
    <row r="1835" spans="1:14" x14ac:dyDescent="0.35">
      <c r="A1835" s="9"/>
      <c r="B1835" s="58"/>
      <c r="C1835" s="125"/>
      <c r="D1835" s="59"/>
      <c r="E1835" s="60"/>
      <c r="F1835" s="61"/>
      <c r="G1835"/>
      <c r="H1835"/>
      <c r="I1835" s="78"/>
      <c r="L1835" s="99"/>
      <c r="M1835" s="124"/>
      <c r="N1835" s="9"/>
    </row>
    <row r="1836" spans="1:14" x14ac:dyDescent="0.35">
      <c r="A1836" s="9"/>
      <c r="B1836" s="58"/>
      <c r="C1836" s="125"/>
      <c r="D1836" s="59"/>
      <c r="E1836" s="60"/>
      <c r="F1836" s="61"/>
      <c r="G1836"/>
      <c r="H1836"/>
      <c r="I1836" s="78"/>
      <c r="L1836" s="99"/>
      <c r="M1836" s="124"/>
      <c r="N1836" s="9"/>
    </row>
    <row r="1837" spans="1:14" x14ac:dyDescent="0.35">
      <c r="A1837" s="9"/>
      <c r="B1837" s="58"/>
      <c r="C1837" s="125"/>
      <c r="D1837" s="59"/>
      <c r="E1837" s="60"/>
      <c r="F1837" s="61"/>
      <c r="G1837"/>
      <c r="H1837"/>
      <c r="I1837" s="78"/>
      <c r="L1837" s="99"/>
      <c r="M1837" s="124"/>
      <c r="N1837" s="9"/>
    </row>
    <row r="1838" spans="1:14" x14ac:dyDescent="0.35">
      <c r="A1838" s="9"/>
      <c r="B1838" s="58"/>
      <c r="C1838" s="125"/>
      <c r="D1838" s="59"/>
      <c r="E1838" s="60"/>
      <c r="F1838" s="61"/>
      <c r="G1838"/>
      <c r="H1838"/>
      <c r="I1838" s="78"/>
      <c r="L1838" s="99"/>
      <c r="M1838" s="124"/>
      <c r="N1838" s="9"/>
    </row>
    <row r="1839" spans="1:14" x14ac:dyDescent="0.35">
      <c r="A1839" s="9"/>
      <c r="B1839" s="58"/>
      <c r="C1839" s="125"/>
      <c r="D1839" s="59"/>
      <c r="E1839" s="60"/>
      <c r="F1839" s="61"/>
      <c r="G1839"/>
      <c r="H1839"/>
      <c r="I1839" s="78"/>
      <c r="L1839" s="99"/>
      <c r="M1839" s="124"/>
      <c r="N1839" s="9"/>
    </row>
    <row r="1840" spans="1:14" x14ac:dyDescent="0.35">
      <c r="A1840" s="9"/>
      <c r="B1840" s="58"/>
      <c r="C1840" s="125"/>
      <c r="D1840" s="59"/>
      <c r="E1840" s="60"/>
      <c r="F1840" s="61"/>
      <c r="G1840"/>
      <c r="H1840"/>
      <c r="I1840" s="78"/>
      <c r="L1840" s="99"/>
      <c r="M1840" s="124"/>
      <c r="N1840" s="9"/>
    </row>
    <row r="1841" spans="1:14" x14ac:dyDescent="0.35">
      <c r="A1841" s="9"/>
      <c r="B1841" s="58"/>
      <c r="C1841" s="125"/>
      <c r="D1841" s="59"/>
      <c r="E1841" s="60"/>
      <c r="F1841" s="61"/>
      <c r="G1841"/>
      <c r="H1841"/>
      <c r="I1841" s="78"/>
      <c r="L1841" s="99"/>
      <c r="M1841" s="124"/>
      <c r="N1841" s="9"/>
    </row>
    <row r="1842" spans="1:14" x14ac:dyDescent="0.35">
      <c r="A1842" s="9"/>
      <c r="B1842" s="58"/>
      <c r="C1842" s="125"/>
      <c r="D1842" s="59"/>
      <c r="E1842" s="60"/>
      <c r="F1842" s="61"/>
      <c r="G1842"/>
      <c r="H1842"/>
      <c r="I1842" s="78"/>
      <c r="L1842" s="99"/>
      <c r="M1842" s="124"/>
      <c r="N1842" s="9"/>
    </row>
    <row r="1843" spans="1:14" x14ac:dyDescent="0.35">
      <c r="A1843" s="9"/>
      <c r="B1843" s="58"/>
      <c r="C1843" s="125"/>
      <c r="D1843" s="59"/>
      <c r="E1843" s="60"/>
      <c r="F1843" s="61"/>
      <c r="G1843"/>
      <c r="H1843"/>
      <c r="I1843" s="78"/>
      <c r="L1843" s="99"/>
      <c r="M1843" s="124"/>
      <c r="N1843" s="9"/>
    </row>
    <row r="1844" spans="1:14" x14ac:dyDescent="0.35">
      <c r="A1844" s="9"/>
      <c r="B1844" s="58"/>
      <c r="C1844" s="125"/>
      <c r="D1844" s="59"/>
      <c r="E1844" s="60"/>
      <c r="F1844" s="61"/>
      <c r="G1844"/>
      <c r="H1844"/>
      <c r="I1844" s="78"/>
      <c r="L1844" s="99"/>
      <c r="M1844" s="124"/>
      <c r="N1844" s="9"/>
    </row>
    <row r="1845" spans="1:14" x14ac:dyDescent="0.35">
      <c r="A1845" s="9"/>
      <c r="B1845" s="58"/>
      <c r="C1845" s="125"/>
      <c r="D1845" s="59"/>
      <c r="E1845" s="60"/>
      <c r="F1845" s="61"/>
      <c r="G1845"/>
      <c r="H1845"/>
      <c r="I1845" s="78"/>
      <c r="L1845" s="99"/>
      <c r="M1845" s="124"/>
      <c r="N1845" s="9"/>
    </row>
    <row r="1846" spans="1:14" x14ac:dyDescent="0.35">
      <c r="A1846" s="9"/>
      <c r="B1846" s="58"/>
      <c r="C1846" s="125"/>
      <c r="D1846" s="59"/>
      <c r="E1846" s="60"/>
      <c r="F1846" s="61"/>
      <c r="G1846"/>
      <c r="H1846"/>
      <c r="I1846" s="78"/>
      <c r="L1846" s="99"/>
      <c r="M1846" s="124"/>
      <c r="N1846" s="9"/>
    </row>
    <row r="1847" spans="1:14" x14ac:dyDescent="0.35">
      <c r="A1847" s="9"/>
      <c r="B1847" s="58"/>
      <c r="C1847" s="125"/>
      <c r="D1847" s="59"/>
      <c r="E1847" s="60"/>
      <c r="F1847" s="61"/>
      <c r="G1847"/>
      <c r="H1847"/>
      <c r="I1847" s="78"/>
      <c r="L1847" s="99"/>
      <c r="M1847" s="124"/>
      <c r="N1847" s="9"/>
    </row>
    <row r="1848" spans="1:14" x14ac:dyDescent="0.35">
      <c r="A1848" s="9"/>
      <c r="B1848" s="58"/>
      <c r="C1848" s="125"/>
      <c r="D1848" s="59"/>
      <c r="E1848" s="60"/>
      <c r="F1848" s="61"/>
      <c r="G1848"/>
      <c r="H1848"/>
      <c r="I1848" s="78"/>
      <c r="L1848" s="99"/>
      <c r="M1848" s="124"/>
      <c r="N1848" s="9"/>
    </row>
    <row r="1849" spans="1:14" x14ac:dyDescent="0.35">
      <c r="A1849" s="9"/>
      <c r="B1849" s="58"/>
      <c r="C1849" s="125"/>
      <c r="D1849" s="59"/>
      <c r="E1849" s="60"/>
      <c r="F1849" s="61"/>
      <c r="G1849"/>
      <c r="H1849"/>
      <c r="I1849" s="78"/>
      <c r="L1849" s="99"/>
      <c r="M1849" s="124"/>
      <c r="N1849" s="9"/>
    </row>
    <row r="1850" spans="1:14" x14ac:dyDescent="0.35">
      <c r="A1850" s="9"/>
      <c r="B1850" s="58"/>
      <c r="C1850" s="125"/>
      <c r="D1850" s="59"/>
      <c r="E1850" s="60"/>
      <c r="F1850" s="61"/>
      <c r="G1850"/>
      <c r="H1850"/>
      <c r="I1850" s="78"/>
      <c r="L1850" s="99"/>
      <c r="M1850" s="124"/>
      <c r="N1850" s="9"/>
    </row>
    <row r="1851" spans="1:14" x14ac:dyDescent="0.35">
      <c r="A1851" s="9"/>
      <c r="B1851" s="58"/>
      <c r="C1851" s="125"/>
      <c r="D1851" s="59"/>
      <c r="E1851" s="60"/>
      <c r="F1851" s="61"/>
      <c r="G1851"/>
      <c r="H1851"/>
      <c r="I1851" s="78"/>
      <c r="L1851" s="99"/>
      <c r="M1851" s="124"/>
      <c r="N1851" s="9"/>
    </row>
    <row r="1852" spans="1:14" x14ac:dyDescent="0.35">
      <c r="A1852" s="9"/>
      <c r="B1852" s="58"/>
      <c r="C1852" s="125"/>
      <c r="D1852" s="59"/>
      <c r="E1852" s="60"/>
      <c r="F1852" s="61"/>
      <c r="G1852"/>
      <c r="H1852"/>
      <c r="I1852" s="78"/>
      <c r="L1852" s="99"/>
      <c r="M1852" s="124"/>
      <c r="N1852" s="9"/>
    </row>
    <row r="1853" spans="1:14" x14ac:dyDescent="0.35">
      <c r="A1853" s="9"/>
      <c r="B1853" s="58"/>
      <c r="C1853" s="125"/>
      <c r="D1853" s="59"/>
      <c r="E1853" s="60"/>
      <c r="F1853" s="61"/>
      <c r="G1853"/>
      <c r="H1853"/>
      <c r="I1853" s="78"/>
      <c r="L1853" s="99"/>
      <c r="M1853" s="124"/>
      <c r="N1853" s="9"/>
    </row>
    <row r="1854" spans="1:14" x14ac:dyDescent="0.35">
      <c r="A1854" s="9"/>
      <c r="B1854" s="58"/>
      <c r="C1854" s="125"/>
      <c r="D1854" s="59"/>
      <c r="E1854" s="60"/>
      <c r="F1854" s="61"/>
      <c r="G1854"/>
      <c r="H1854"/>
      <c r="I1854" s="78"/>
      <c r="L1854" s="99"/>
      <c r="M1854" s="124"/>
      <c r="N1854" s="9"/>
    </row>
    <row r="1855" spans="1:14" x14ac:dyDescent="0.35">
      <c r="A1855" s="9"/>
      <c r="B1855" s="58"/>
      <c r="C1855" s="125"/>
      <c r="D1855" s="59"/>
      <c r="E1855" s="60"/>
      <c r="F1855" s="61"/>
      <c r="G1855"/>
      <c r="H1855"/>
      <c r="I1855" s="78"/>
      <c r="L1855" s="99"/>
      <c r="M1855" s="124"/>
      <c r="N1855" s="9"/>
    </row>
    <row r="1856" spans="1:14" x14ac:dyDescent="0.35">
      <c r="A1856" s="9"/>
      <c r="B1856" s="58"/>
      <c r="C1856" s="125"/>
      <c r="D1856" s="59"/>
      <c r="E1856" s="60"/>
      <c r="F1856" s="61"/>
      <c r="G1856"/>
      <c r="H1856"/>
      <c r="I1856" s="78"/>
      <c r="L1856" s="99"/>
      <c r="M1856" s="124"/>
      <c r="N1856" s="9"/>
    </row>
    <row r="1857" spans="1:14" x14ac:dyDescent="0.35">
      <c r="A1857" s="9"/>
      <c r="B1857" s="58"/>
      <c r="C1857" s="125"/>
      <c r="D1857" s="59"/>
      <c r="E1857" s="60"/>
      <c r="F1857" s="61"/>
      <c r="G1857"/>
      <c r="H1857"/>
      <c r="I1857" s="78"/>
      <c r="L1857" s="99"/>
      <c r="M1857" s="124"/>
      <c r="N1857" s="9"/>
    </row>
    <row r="1858" spans="1:14" x14ac:dyDescent="0.35">
      <c r="A1858" s="9"/>
      <c r="B1858" s="58"/>
      <c r="C1858" s="125"/>
      <c r="D1858" s="59"/>
      <c r="E1858" s="60"/>
      <c r="F1858" s="61"/>
      <c r="G1858"/>
      <c r="H1858"/>
      <c r="I1858" s="78"/>
      <c r="L1858" s="99"/>
      <c r="M1858" s="124"/>
      <c r="N1858" s="9"/>
    </row>
    <row r="1859" spans="1:14" x14ac:dyDescent="0.35">
      <c r="A1859" s="9"/>
      <c r="B1859" s="58"/>
      <c r="C1859" s="125"/>
      <c r="D1859" s="59"/>
      <c r="E1859" s="60"/>
      <c r="F1859" s="61"/>
      <c r="G1859"/>
      <c r="H1859"/>
      <c r="I1859" s="78"/>
      <c r="L1859" s="99"/>
      <c r="M1859" s="124"/>
      <c r="N1859" s="9"/>
    </row>
    <row r="1860" spans="1:14" x14ac:dyDescent="0.35">
      <c r="A1860" s="9"/>
      <c r="B1860" s="58"/>
      <c r="C1860" s="125"/>
      <c r="D1860" s="59"/>
      <c r="E1860" s="60"/>
      <c r="F1860" s="61"/>
      <c r="G1860"/>
      <c r="H1860"/>
      <c r="I1860" s="78"/>
      <c r="L1860" s="99"/>
      <c r="M1860" s="124"/>
      <c r="N1860" s="9"/>
    </row>
    <row r="1861" spans="1:14" x14ac:dyDescent="0.35">
      <c r="A1861" s="9"/>
      <c r="B1861" s="58"/>
      <c r="C1861" s="125"/>
      <c r="D1861" s="59"/>
      <c r="E1861" s="60"/>
      <c r="F1861" s="61"/>
      <c r="G1861"/>
      <c r="H1861"/>
      <c r="I1861" s="78"/>
      <c r="L1861" s="99"/>
      <c r="M1861" s="124"/>
      <c r="N1861" s="9"/>
    </row>
    <row r="1862" spans="1:14" x14ac:dyDescent="0.35">
      <c r="A1862" s="9"/>
      <c r="B1862" s="58"/>
      <c r="C1862" s="125"/>
      <c r="D1862" s="59"/>
      <c r="E1862" s="60"/>
      <c r="F1862" s="61"/>
      <c r="G1862"/>
      <c r="H1862"/>
      <c r="I1862" s="78"/>
      <c r="L1862" s="99"/>
      <c r="M1862" s="124"/>
      <c r="N1862" s="9"/>
    </row>
    <row r="1863" spans="1:14" x14ac:dyDescent="0.35">
      <c r="A1863" s="9"/>
      <c r="B1863" s="58"/>
      <c r="C1863" s="125"/>
      <c r="D1863" s="59"/>
      <c r="E1863" s="60"/>
      <c r="F1863" s="61"/>
      <c r="G1863"/>
      <c r="H1863"/>
      <c r="I1863" s="78"/>
      <c r="L1863" s="99"/>
      <c r="M1863" s="124"/>
      <c r="N1863" s="9"/>
    </row>
    <row r="1864" spans="1:14" x14ac:dyDescent="0.35">
      <c r="A1864" s="9"/>
      <c r="B1864" s="58"/>
      <c r="C1864" s="125"/>
      <c r="D1864" s="59"/>
      <c r="E1864" s="60"/>
      <c r="F1864" s="61"/>
      <c r="G1864"/>
      <c r="H1864"/>
      <c r="I1864" s="78"/>
      <c r="L1864" s="99"/>
      <c r="M1864" s="124"/>
      <c r="N1864" s="9"/>
    </row>
    <row r="1865" spans="1:14" x14ac:dyDescent="0.35">
      <c r="A1865" s="9"/>
      <c r="B1865" s="58"/>
      <c r="C1865" s="125"/>
      <c r="D1865" s="59"/>
      <c r="E1865" s="60"/>
      <c r="F1865" s="61"/>
      <c r="G1865"/>
      <c r="H1865"/>
      <c r="I1865" s="78"/>
      <c r="L1865" s="99"/>
      <c r="M1865" s="124"/>
      <c r="N1865" s="9"/>
    </row>
    <row r="1866" spans="1:14" x14ac:dyDescent="0.35">
      <c r="A1866" s="9"/>
      <c r="B1866" s="58"/>
      <c r="C1866" s="125"/>
      <c r="D1866" s="59"/>
      <c r="E1866" s="60"/>
      <c r="F1866" s="61"/>
      <c r="G1866"/>
      <c r="H1866"/>
      <c r="I1866" s="78"/>
      <c r="L1866" s="99"/>
      <c r="M1866" s="124"/>
      <c r="N1866" s="9"/>
    </row>
    <row r="1867" spans="1:14" x14ac:dyDescent="0.35">
      <c r="A1867" s="9"/>
      <c r="B1867" s="58"/>
      <c r="C1867" s="125"/>
      <c r="D1867" s="59"/>
      <c r="E1867" s="60"/>
      <c r="F1867" s="61"/>
      <c r="G1867"/>
      <c r="H1867"/>
      <c r="I1867" s="78"/>
      <c r="L1867" s="99"/>
      <c r="M1867" s="124"/>
      <c r="N1867" s="9"/>
    </row>
    <row r="1868" spans="1:14" x14ac:dyDescent="0.35">
      <c r="A1868" s="9"/>
      <c r="B1868" s="58"/>
      <c r="C1868" s="125"/>
      <c r="D1868" s="59"/>
      <c r="E1868" s="60"/>
      <c r="F1868" s="61"/>
      <c r="G1868"/>
      <c r="H1868"/>
      <c r="I1868" s="78"/>
      <c r="L1868" s="99"/>
      <c r="M1868" s="124"/>
      <c r="N1868" s="9"/>
    </row>
    <row r="1869" spans="1:14" x14ac:dyDescent="0.35">
      <c r="A1869" s="9"/>
      <c r="B1869" s="58"/>
      <c r="C1869" s="125"/>
      <c r="D1869" s="59"/>
      <c r="E1869" s="60"/>
      <c r="F1869" s="61"/>
      <c r="G1869"/>
      <c r="H1869"/>
      <c r="I1869" s="78"/>
      <c r="L1869" s="99"/>
      <c r="M1869" s="124"/>
      <c r="N1869" s="9"/>
    </row>
    <row r="1870" spans="1:14" x14ac:dyDescent="0.35">
      <c r="A1870" s="9"/>
      <c r="B1870" s="58"/>
      <c r="C1870" s="125"/>
      <c r="D1870" s="59"/>
      <c r="E1870" s="60"/>
      <c r="F1870" s="61"/>
      <c r="G1870"/>
      <c r="H1870"/>
      <c r="I1870" s="78"/>
      <c r="L1870" s="99"/>
      <c r="M1870" s="124"/>
      <c r="N1870" s="9"/>
    </row>
    <row r="1871" spans="1:14" x14ac:dyDescent="0.35">
      <c r="A1871" s="9"/>
      <c r="B1871" s="58"/>
      <c r="C1871" s="125"/>
      <c r="D1871" s="59"/>
      <c r="E1871" s="60"/>
      <c r="F1871" s="61"/>
      <c r="G1871"/>
      <c r="H1871"/>
      <c r="I1871" s="78"/>
      <c r="L1871" s="99"/>
      <c r="M1871" s="124"/>
      <c r="N1871" s="9"/>
    </row>
    <row r="1872" spans="1:14" x14ac:dyDescent="0.35">
      <c r="A1872" s="9"/>
      <c r="B1872" s="58"/>
      <c r="C1872" s="125"/>
      <c r="D1872" s="59"/>
      <c r="E1872" s="60"/>
      <c r="F1872" s="61"/>
      <c r="G1872"/>
      <c r="H1872"/>
      <c r="I1872" s="78"/>
      <c r="L1872" s="99"/>
      <c r="M1872" s="124"/>
      <c r="N1872" s="9"/>
    </row>
    <row r="1873" spans="1:14" x14ac:dyDescent="0.35">
      <c r="A1873" s="9"/>
      <c r="B1873" s="58"/>
      <c r="C1873" s="125"/>
      <c r="D1873" s="59"/>
      <c r="E1873" s="60"/>
      <c r="F1873" s="61"/>
      <c r="G1873"/>
      <c r="H1873"/>
      <c r="I1873" s="78"/>
      <c r="L1873" s="99"/>
      <c r="M1873" s="124"/>
      <c r="N1873" s="9"/>
    </row>
    <row r="1874" spans="1:14" x14ac:dyDescent="0.35">
      <c r="A1874" s="9"/>
      <c r="B1874" s="58"/>
      <c r="C1874" s="125"/>
      <c r="D1874" s="59"/>
      <c r="E1874" s="60"/>
      <c r="F1874" s="61"/>
      <c r="G1874"/>
      <c r="H1874"/>
      <c r="I1874" s="78"/>
      <c r="L1874" s="99"/>
      <c r="M1874" s="124"/>
      <c r="N1874" s="9"/>
    </row>
    <row r="1875" spans="1:14" x14ac:dyDescent="0.35">
      <c r="A1875" s="9"/>
      <c r="B1875" s="58"/>
      <c r="C1875" s="125"/>
      <c r="D1875" s="59"/>
      <c r="E1875" s="60"/>
      <c r="F1875" s="61"/>
      <c r="G1875"/>
      <c r="H1875"/>
      <c r="I1875" s="78"/>
      <c r="L1875" s="99"/>
      <c r="M1875" s="124"/>
      <c r="N1875" s="9"/>
    </row>
    <row r="1876" spans="1:14" x14ac:dyDescent="0.35">
      <c r="A1876" s="9"/>
      <c r="B1876" s="58"/>
      <c r="C1876" s="125"/>
      <c r="D1876" s="59"/>
      <c r="E1876" s="60"/>
      <c r="F1876" s="61"/>
      <c r="G1876"/>
      <c r="H1876"/>
      <c r="I1876" s="78"/>
      <c r="L1876" s="99"/>
      <c r="M1876" s="124"/>
      <c r="N1876" s="9"/>
    </row>
    <row r="1877" spans="1:14" x14ac:dyDescent="0.35">
      <c r="A1877" s="9"/>
      <c r="B1877" s="58"/>
      <c r="C1877" s="125"/>
      <c r="D1877" s="59"/>
      <c r="E1877" s="60"/>
      <c r="F1877" s="61"/>
      <c r="G1877"/>
      <c r="H1877"/>
      <c r="I1877" s="78"/>
      <c r="L1877" s="99"/>
      <c r="M1877" s="124"/>
      <c r="N1877" s="9"/>
    </row>
    <row r="1878" spans="1:14" x14ac:dyDescent="0.35">
      <c r="A1878" s="9"/>
      <c r="B1878" s="58"/>
      <c r="C1878" s="125"/>
      <c r="D1878" s="59"/>
      <c r="E1878" s="60"/>
      <c r="F1878" s="61"/>
      <c r="G1878"/>
      <c r="H1878"/>
      <c r="I1878" s="78"/>
      <c r="L1878" s="99"/>
      <c r="M1878" s="124"/>
      <c r="N1878" s="9"/>
    </row>
    <row r="1879" spans="1:14" x14ac:dyDescent="0.35">
      <c r="A1879" s="9"/>
      <c r="B1879" s="58"/>
      <c r="C1879" s="125"/>
      <c r="D1879" s="59"/>
      <c r="E1879" s="60"/>
      <c r="F1879" s="61"/>
      <c r="G1879"/>
      <c r="H1879"/>
      <c r="I1879" s="78"/>
      <c r="L1879" s="99"/>
      <c r="M1879" s="124"/>
      <c r="N1879" s="9"/>
    </row>
    <row r="1880" spans="1:14" x14ac:dyDescent="0.35">
      <c r="A1880" s="9"/>
      <c r="B1880" s="58"/>
      <c r="C1880" s="125"/>
      <c r="D1880" s="59"/>
      <c r="E1880" s="60"/>
      <c r="F1880" s="61"/>
      <c r="G1880"/>
      <c r="H1880"/>
      <c r="I1880" s="78"/>
      <c r="L1880" s="99"/>
      <c r="M1880" s="124"/>
      <c r="N1880" s="9"/>
    </row>
    <row r="1881" spans="1:14" x14ac:dyDescent="0.35">
      <c r="A1881" s="9"/>
      <c r="B1881" s="58"/>
      <c r="C1881" s="125"/>
      <c r="D1881" s="59"/>
      <c r="E1881" s="60"/>
      <c r="F1881" s="61"/>
      <c r="G1881"/>
      <c r="H1881"/>
      <c r="I1881" s="78"/>
      <c r="L1881" s="99"/>
      <c r="M1881" s="124"/>
      <c r="N1881" s="9"/>
    </row>
    <row r="1882" spans="1:14" x14ac:dyDescent="0.35">
      <c r="A1882" s="9"/>
      <c r="B1882" s="58"/>
      <c r="C1882" s="125"/>
      <c r="D1882" s="59"/>
      <c r="E1882" s="60"/>
      <c r="F1882" s="61"/>
      <c r="G1882"/>
      <c r="H1882"/>
      <c r="I1882" s="78"/>
      <c r="L1882" s="99"/>
      <c r="M1882" s="124"/>
      <c r="N1882" s="9"/>
    </row>
    <row r="1883" spans="1:14" x14ac:dyDescent="0.35">
      <c r="A1883" s="9"/>
      <c r="B1883" s="58"/>
      <c r="C1883" s="125"/>
      <c r="D1883" s="59"/>
      <c r="E1883" s="60"/>
      <c r="F1883" s="61"/>
      <c r="G1883"/>
      <c r="H1883"/>
      <c r="I1883" s="78"/>
      <c r="L1883" s="99"/>
      <c r="M1883" s="124"/>
      <c r="N1883" s="9"/>
    </row>
    <row r="1884" spans="1:14" x14ac:dyDescent="0.35">
      <c r="A1884" s="9"/>
      <c r="B1884" s="58"/>
      <c r="C1884" s="125"/>
      <c r="D1884" s="59"/>
      <c r="E1884" s="60"/>
      <c r="F1884" s="61"/>
      <c r="G1884"/>
      <c r="H1884"/>
      <c r="I1884" s="78"/>
      <c r="L1884" s="99"/>
      <c r="M1884" s="124"/>
      <c r="N1884" s="9"/>
    </row>
    <row r="1885" spans="1:14" x14ac:dyDescent="0.35">
      <c r="A1885" s="9"/>
      <c r="B1885" s="58"/>
      <c r="C1885" s="125"/>
      <c r="D1885" s="59"/>
      <c r="E1885" s="60"/>
      <c r="F1885" s="61"/>
      <c r="G1885"/>
      <c r="H1885"/>
      <c r="I1885" s="78"/>
      <c r="L1885" s="99"/>
      <c r="M1885" s="124"/>
      <c r="N1885" s="9"/>
    </row>
    <row r="1886" spans="1:14" x14ac:dyDescent="0.35">
      <c r="A1886" s="9"/>
      <c r="B1886" s="58"/>
      <c r="C1886" s="125"/>
      <c r="D1886" s="59"/>
      <c r="E1886" s="60"/>
      <c r="F1886" s="61"/>
      <c r="G1886"/>
      <c r="H1886"/>
      <c r="I1886" s="78"/>
      <c r="L1886" s="99"/>
      <c r="M1886" s="124"/>
      <c r="N1886" s="9"/>
    </row>
    <row r="1887" spans="1:14" x14ac:dyDescent="0.35">
      <c r="A1887" s="9"/>
      <c r="B1887" s="58"/>
      <c r="C1887" s="125"/>
      <c r="D1887" s="59"/>
      <c r="E1887" s="60"/>
      <c r="F1887" s="61"/>
      <c r="G1887"/>
      <c r="H1887"/>
      <c r="I1887" s="78"/>
      <c r="L1887" s="99"/>
      <c r="M1887" s="124"/>
      <c r="N1887" s="9"/>
    </row>
    <row r="1888" spans="1:14" x14ac:dyDescent="0.35">
      <c r="A1888" s="9"/>
      <c r="B1888" s="58"/>
      <c r="C1888" s="125"/>
      <c r="D1888" s="59"/>
      <c r="E1888" s="60"/>
      <c r="F1888" s="61"/>
      <c r="G1888"/>
      <c r="H1888"/>
      <c r="I1888" s="78"/>
      <c r="L1888" s="99"/>
      <c r="M1888" s="124"/>
      <c r="N1888" s="9"/>
    </row>
    <row r="1889" spans="1:14" x14ac:dyDescent="0.35">
      <c r="A1889" s="9"/>
      <c r="B1889" s="58"/>
      <c r="C1889" s="125"/>
      <c r="D1889" s="59"/>
      <c r="E1889" s="60"/>
      <c r="F1889" s="61"/>
      <c r="G1889"/>
      <c r="H1889"/>
      <c r="I1889" s="78"/>
      <c r="L1889" s="99"/>
      <c r="M1889" s="124"/>
      <c r="N1889" s="9"/>
    </row>
    <row r="1890" spans="1:14" x14ac:dyDescent="0.35">
      <c r="A1890" s="9"/>
      <c r="B1890" s="58"/>
      <c r="C1890" s="125"/>
      <c r="D1890" s="59"/>
      <c r="E1890" s="60"/>
      <c r="F1890" s="61"/>
      <c r="G1890"/>
      <c r="H1890"/>
      <c r="I1890" s="78"/>
      <c r="L1890" s="99"/>
      <c r="M1890" s="124"/>
      <c r="N1890" s="9"/>
    </row>
    <row r="1891" spans="1:14" x14ac:dyDescent="0.35">
      <c r="A1891" s="9"/>
      <c r="B1891" s="58"/>
      <c r="C1891" s="125"/>
      <c r="D1891" s="59"/>
      <c r="E1891" s="60"/>
      <c r="F1891" s="61"/>
      <c r="G1891"/>
      <c r="H1891"/>
      <c r="I1891" s="78"/>
      <c r="L1891" s="99"/>
      <c r="M1891" s="124"/>
      <c r="N1891" s="9"/>
    </row>
    <row r="1892" spans="1:14" x14ac:dyDescent="0.35">
      <c r="A1892" s="9"/>
      <c r="B1892" s="58"/>
      <c r="C1892" s="125"/>
      <c r="D1892" s="59"/>
      <c r="E1892" s="60"/>
      <c r="F1892" s="61"/>
      <c r="G1892"/>
      <c r="H1892"/>
      <c r="I1892" s="78"/>
      <c r="L1892" s="99"/>
      <c r="M1892" s="124"/>
      <c r="N1892" s="9"/>
    </row>
    <row r="1893" spans="1:14" x14ac:dyDescent="0.35">
      <c r="A1893" s="9"/>
      <c r="B1893" s="58"/>
      <c r="C1893" s="125"/>
      <c r="D1893" s="59"/>
      <c r="E1893" s="60"/>
      <c r="F1893" s="61"/>
      <c r="G1893"/>
      <c r="H1893"/>
      <c r="I1893" s="78"/>
      <c r="L1893" s="99"/>
      <c r="M1893" s="124"/>
      <c r="N1893" s="9"/>
    </row>
    <row r="1894" spans="1:14" x14ac:dyDescent="0.35">
      <c r="A1894" s="9"/>
      <c r="B1894" s="58"/>
      <c r="C1894" s="125"/>
      <c r="D1894" s="59"/>
      <c r="E1894" s="60"/>
      <c r="F1894" s="61"/>
      <c r="G1894"/>
      <c r="H1894"/>
      <c r="I1894" s="78"/>
      <c r="L1894" s="99"/>
      <c r="M1894" s="124"/>
      <c r="N1894" s="9"/>
    </row>
    <row r="1895" spans="1:14" x14ac:dyDescent="0.35">
      <c r="A1895" s="9"/>
      <c r="B1895" s="58"/>
      <c r="C1895" s="125"/>
      <c r="D1895" s="59"/>
      <c r="E1895" s="60"/>
      <c r="F1895" s="61"/>
      <c r="G1895"/>
      <c r="H1895"/>
      <c r="I1895" s="78"/>
      <c r="L1895" s="99"/>
      <c r="M1895" s="124"/>
      <c r="N1895" s="9"/>
    </row>
    <row r="1896" spans="1:14" x14ac:dyDescent="0.35">
      <c r="A1896" s="9"/>
      <c r="B1896" s="58"/>
      <c r="C1896" s="125"/>
      <c r="D1896" s="59"/>
      <c r="E1896" s="60"/>
      <c r="F1896" s="61"/>
      <c r="G1896"/>
      <c r="H1896"/>
      <c r="I1896" s="78"/>
      <c r="L1896" s="99"/>
      <c r="M1896" s="124"/>
      <c r="N1896" s="9"/>
    </row>
    <row r="1897" spans="1:14" x14ac:dyDescent="0.35">
      <c r="A1897" s="9"/>
      <c r="B1897" s="58"/>
      <c r="C1897" s="125"/>
      <c r="D1897" s="59"/>
      <c r="E1897" s="60"/>
      <c r="F1897" s="61"/>
      <c r="G1897"/>
      <c r="H1897"/>
      <c r="I1897" s="78"/>
      <c r="L1897" s="99"/>
      <c r="M1897" s="124"/>
      <c r="N1897" s="9"/>
    </row>
    <row r="1898" spans="1:14" x14ac:dyDescent="0.35">
      <c r="A1898" s="9"/>
      <c r="B1898" s="58"/>
      <c r="C1898" s="125"/>
      <c r="D1898" s="59"/>
      <c r="E1898" s="60"/>
      <c r="F1898" s="61"/>
      <c r="G1898"/>
      <c r="H1898"/>
      <c r="I1898" s="78"/>
      <c r="L1898" s="99"/>
      <c r="M1898" s="124"/>
      <c r="N1898" s="9"/>
    </row>
    <row r="1899" spans="1:14" x14ac:dyDescent="0.35">
      <c r="A1899" s="9"/>
      <c r="B1899" s="58"/>
      <c r="C1899" s="125"/>
      <c r="D1899" s="59"/>
      <c r="E1899" s="60"/>
      <c r="F1899" s="61"/>
      <c r="G1899"/>
      <c r="H1899"/>
      <c r="I1899" s="78"/>
      <c r="L1899" s="99"/>
      <c r="M1899" s="124"/>
      <c r="N1899" s="9"/>
    </row>
    <row r="1900" spans="1:14" x14ac:dyDescent="0.35">
      <c r="A1900" s="9"/>
      <c r="B1900" s="58"/>
      <c r="C1900" s="125"/>
      <c r="D1900" s="59"/>
      <c r="E1900" s="60"/>
      <c r="F1900" s="61"/>
      <c r="G1900"/>
      <c r="H1900"/>
      <c r="I1900" s="78"/>
      <c r="L1900" s="99"/>
      <c r="M1900" s="124"/>
      <c r="N1900" s="9"/>
    </row>
    <row r="1901" spans="1:14" x14ac:dyDescent="0.35">
      <c r="A1901" s="9"/>
      <c r="B1901" s="58"/>
      <c r="C1901" s="125"/>
      <c r="D1901" s="59"/>
      <c r="E1901" s="60"/>
      <c r="F1901" s="61"/>
      <c r="G1901"/>
      <c r="H1901"/>
      <c r="I1901" s="78"/>
      <c r="L1901" s="99"/>
      <c r="M1901" s="124"/>
      <c r="N1901" s="9"/>
    </row>
    <row r="1902" spans="1:14" x14ac:dyDescent="0.35">
      <c r="A1902" s="9"/>
      <c r="B1902" s="58"/>
      <c r="C1902" s="125"/>
      <c r="D1902" s="59"/>
      <c r="E1902" s="60"/>
      <c r="F1902" s="61"/>
      <c r="G1902"/>
      <c r="H1902"/>
      <c r="I1902" s="78"/>
      <c r="L1902" s="99"/>
      <c r="M1902" s="124"/>
      <c r="N1902" s="9"/>
    </row>
    <row r="1903" spans="1:14" x14ac:dyDescent="0.35">
      <c r="A1903" s="9"/>
      <c r="B1903" s="58"/>
      <c r="C1903" s="125"/>
      <c r="D1903" s="59"/>
      <c r="E1903" s="60"/>
      <c r="F1903" s="61"/>
      <c r="G1903"/>
      <c r="H1903"/>
      <c r="I1903" s="78"/>
      <c r="L1903" s="99"/>
      <c r="M1903" s="124"/>
      <c r="N1903" s="9"/>
    </row>
    <row r="1904" spans="1:14" x14ac:dyDescent="0.35">
      <c r="A1904" s="9"/>
      <c r="B1904" s="58"/>
      <c r="C1904" s="125"/>
      <c r="D1904" s="59"/>
      <c r="E1904" s="60"/>
      <c r="F1904" s="61"/>
      <c r="G1904"/>
      <c r="H1904"/>
      <c r="I1904" s="78"/>
      <c r="L1904" s="99"/>
      <c r="M1904" s="124"/>
      <c r="N1904" s="9"/>
    </row>
    <row r="1905" spans="1:14" x14ac:dyDescent="0.35">
      <c r="A1905" s="9"/>
      <c r="B1905" s="58"/>
      <c r="C1905" s="125"/>
      <c r="D1905" s="59"/>
      <c r="E1905" s="60"/>
      <c r="F1905" s="61"/>
      <c r="G1905"/>
      <c r="H1905"/>
      <c r="I1905" s="78"/>
      <c r="L1905" s="99"/>
      <c r="M1905" s="124"/>
      <c r="N1905" s="9"/>
    </row>
    <row r="1906" spans="1:14" x14ac:dyDescent="0.35">
      <c r="A1906" s="9"/>
      <c r="B1906" s="58"/>
      <c r="C1906" s="125"/>
      <c r="D1906" s="59"/>
      <c r="E1906" s="60"/>
      <c r="F1906" s="61"/>
      <c r="G1906"/>
      <c r="H1906"/>
      <c r="I1906" s="78"/>
      <c r="L1906" s="99"/>
      <c r="M1906" s="124"/>
      <c r="N1906" s="9"/>
    </row>
    <row r="1907" spans="1:14" x14ac:dyDescent="0.35">
      <c r="A1907" s="9"/>
      <c r="B1907" s="58"/>
      <c r="C1907" s="125"/>
      <c r="D1907" s="59"/>
      <c r="E1907" s="60"/>
      <c r="F1907" s="61"/>
      <c r="G1907"/>
      <c r="H1907"/>
      <c r="I1907" s="78"/>
      <c r="L1907" s="99"/>
      <c r="M1907" s="124"/>
      <c r="N1907" s="9"/>
    </row>
    <row r="1908" spans="1:14" x14ac:dyDescent="0.35">
      <c r="A1908" s="9"/>
      <c r="B1908" s="58"/>
      <c r="C1908" s="125"/>
      <c r="D1908" s="59"/>
      <c r="E1908" s="60"/>
      <c r="F1908" s="61"/>
      <c r="G1908"/>
      <c r="H1908"/>
      <c r="I1908" s="78"/>
      <c r="L1908" s="99"/>
      <c r="M1908" s="124"/>
      <c r="N1908" s="9"/>
    </row>
    <row r="1909" spans="1:14" x14ac:dyDescent="0.35">
      <c r="A1909" s="9"/>
      <c r="B1909" s="58"/>
      <c r="C1909" s="125"/>
      <c r="D1909" s="59"/>
      <c r="E1909" s="60"/>
      <c r="F1909" s="61"/>
      <c r="G1909"/>
      <c r="H1909"/>
      <c r="I1909" s="78"/>
      <c r="L1909" s="99"/>
      <c r="M1909" s="124"/>
      <c r="N1909" s="9"/>
    </row>
    <row r="1910" spans="1:14" x14ac:dyDescent="0.35">
      <c r="A1910" s="9"/>
      <c r="B1910" s="58"/>
      <c r="C1910" s="125"/>
      <c r="D1910" s="59"/>
      <c r="E1910" s="60"/>
      <c r="F1910" s="61"/>
      <c r="G1910"/>
      <c r="H1910"/>
      <c r="I1910" s="78"/>
      <c r="L1910" s="99"/>
      <c r="M1910" s="124"/>
      <c r="N1910" s="9"/>
    </row>
    <row r="1911" spans="1:14" x14ac:dyDescent="0.35">
      <c r="A1911" s="9"/>
      <c r="B1911" s="58"/>
      <c r="C1911" s="125"/>
      <c r="D1911" s="59"/>
      <c r="E1911" s="60"/>
      <c r="F1911" s="61"/>
      <c r="G1911"/>
      <c r="H1911"/>
      <c r="I1911" s="78"/>
      <c r="L1911" s="99"/>
      <c r="M1911" s="124"/>
      <c r="N1911" s="9"/>
    </row>
    <row r="1912" spans="1:14" x14ac:dyDescent="0.35">
      <c r="A1912" s="9"/>
      <c r="B1912" s="58"/>
      <c r="C1912" s="125"/>
      <c r="D1912" s="59"/>
      <c r="E1912" s="60"/>
      <c r="F1912" s="61"/>
      <c r="G1912"/>
      <c r="H1912"/>
      <c r="I1912" s="78"/>
      <c r="L1912" s="99"/>
      <c r="M1912" s="124"/>
      <c r="N1912" s="9"/>
    </row>
    <row r="1913" spans="1:14" x14ac:dyDescent="0.35">
      <c r="A1913" s="9"/>
      <c r="B1913" s="58"/>
      <c r="C1913" s="125"/>
      <c r="D1913" s="59"/>
      <c r="E1913" s="60"/>
      <c r="F1913" s="61"/>
      <c r="G1913"/>
      <c r="H1913"/>
      <c r="I1913" s="78"/>
      <c r="L1913" s="99"/>
      <c r="M1913" s="124"/>
      <c r="N1913" s="9"/>
    </row>
    <row r="1914" spans="1:14" x14ac:dyDescent="0.35">
      <c r="A1914" s="9"/>
      <c r="B1914" s="58"/>
      <c r="C1914" s="125"/>
      <c r="D1914" s="59"/>
      <c r="E1914" s="60"/>
      <c r="F1914" s="61"/>
      <c r="G1914"/>
      <c r="H1914"/>
      <c r="I1914" s="78"/>
      <c r="L1914" s="99"/>
      <c r="M1914" s="124"/>
      <c r="N1914" s="9"/>
    </row>
    <row r="1915" spans="1:14" x14ac:dyDescent="0.35">
      <c r="A1915" s="9"/>
      <c r="B1915" s="58"/>
      <c r="C1915" s="125"/>
      <c r="D1915" s="59"/>
      <c r="E1915" s="60"/>
      <c r="F1915" s="61"/>
      <c r="G1915"/>
      <c r="H1915"/>
      <c r="I1915" s="78"/>
      <c r="L1915" s="99"/>
      <c r="M1915" s="124"/>
      <c r="N1915" s="9"/>
    </row>
    <row r="1916" spans="1:14" x14ac:dyDescent="0.35">
      <c r="A1916" s="9"/>
      <c r="B1916" s="58"/>
      <c r="C1916" s="125"/>
      <c r="D1916" s="59"/>
      <c r="E1916" s="60"/>
      <c r="F1916" s="61"/>
      <c r="G1916"/>
      <c r="H1916"/>
      <c r="I1916" s="78"/>
      <c r="L1916" s="99"/>
      <c r="M1916" s="124"/>
      <c r="N1916" s="9"/>
    </row>
    <row r="1917" spans="1:14" x14ac:dyDescent="0.35">
      <c r="A1917" s="9"/>
      <c r="B1917" s="58"/>
      <c r="C1917" s="125"/>
      <c r="D1917" s="59"/>
      <c r="E1917" s="60"/>
      <c r="F1917" s="61"/>
      <c r="G1917"/>
      <c r="H1917"/>
      <c r="I1917" s="78"/>
      <c r="L1917" s="99"/>
      <c r="M1917" s="124"/>
      <c r="N1917" s="9"/>
    </row>
    <row r="1918" spans="1:14" x14ac:dyDescent="0.35">
      <c r="A1918" s="9"/>
      <c r="B1918" s="58"/>
      <c r="C1918" s="125"/>
      <c r="D1918" s="59"/>
      <c r="E1918" s="60"/>
      <c r="F1918" s="61"/>
      <c r="G1918"/>
      <c r="H1918"/>
      <c r="I1918" s="78"/>
      <c r="L1918" s="99"/>
      <c r="M1918" s="124"/>
      <c r="N1918" s="9"/>
    </row>
    <row r="1919" spans="1:14" x14ac:dyDescent="0.35">
      <c r="A1919" s="9"/>
      <c r="B1919" s="58"/>
      <c r="C1919" s="125"/>
      <c r="D1919" s="59"/>
      <c r="E1919" s="60"/>
      <c r="F1919" s="61"/>
      <c r="G1919"/>
      <c r="H1919"/>
      <c r="I1919" s="78"/>
      <c r="L1919" s="99"/>
      <c r="M1919" s="124"/>
      <c r="N1919" s="9"/>
    </row>
    <row r="1920" spans="1:14" x14ac:dyDescent="0.35">
      <c r="A1920" s="9"/>
      <c r="B1920" s="58"/>
      <c r="C1920" s="125"/>
      <c r="D1920" s="59"/>
      <c r="E1920" s="60"/>
      <c r="F1920" s="61"/>
      <c r="G1920"/>
      <c r="H1920"/>
      <c r="I1920" s="78"/>
      <c r="L1920" s="99"/>
      <c r="M1920" s="124"/>
      <c r="N1920" s="9"/>
    </row>
    <row r="1921" spans="1:14" x14ac:dyDescent="0.35">
      <c r="A1921" s="9"/>
      <c r="B1921" s="58"/>
      <c r="C1921" s="125"/>
      <c r="D1921" s="59"/>
      <c r="E1921" s="60"/>
      <c r="F1921" s="61"/>
      <c r="G1921"/>
      <c r="H1921"/>
      <c r="I1921" s="78"/>
      <c r="L1921" s="99"/>
      <c r="M1921" s="124"/>
      <c r="N1921" s="9"/>
    </row>
    <row r="1922" spans="1:14" x14ac:dyDescent="0.35">
      <c r="A1922" s="9"/>
      <c r="B1922" s="58"/>
      <c r="C1922" s="125"/>
      <c r="D1922" s="59"/>
      <c r="E1922" s="60"/>
      <c r="F1922" s="61"/>
      <c r="G1922"/>
      <c r="H1922"/>
      <c r="I1922" s="78"/>
      <c r="L1922" s="99"/>
      <c r="M1922" s="124"/>
      <c r="N1922" s="9"/>
    </row>
    <row r="1923" spans="1:14" x14ac:dyDescent="0.35">
      <c r="A1923" s="9"/>
      <c r="B1923" s="58"/>
      <c r="C1923" s="125"/>
      <c r="D1923" s="59"/>
      <c r="E1923" s="60"/>
      <c r="F1923" s="61"/>
      <c r="G1923"/>
      <c r="H1923"/>
      <c r="I1923" s="78"/>
      <c r="L1923" s="99"/>
      <c r="M1923" s="124"/>
      <c r="N1923" s="9"/>
    </row>
    <row r="1924" spans="1:14" x14ac:dyDescent="0.35">
      <c r="A1924" s="9"/>
      <c r="B1924" s="58"/>
      <c r="C1924" s="125"/>
      <c r="D1924" s="59"/>
      <c r="E1924" s="60"/>
      <c r="F1924" s="61"/>
      <c r="G1924"/>
      <c r="H1924"/>
      <c r="I1924" s="78"/>
      <c r="L1924" s="99"/>
      <c r="M1924" s="124"/>
      <c r="N1924" s="9"/>
    </row>
    <row r="1925" spans="1:14" x14ac:dyDescent="0.35">
      <c r="A1925" s="9"/>
      <c r="B1925" s="58"/>
      <c r="C1925" s="125"/>
      <c r="D1925" s="59"/>
      <c r="E1925" s="60"/>
      <c r="F1925" s="61"/>
      <c r="G1925"/>
      <c r="H1925"/>
      <c r="I1925" s="78"/>
      <c r="L1925" s="99"/>
      <c r="M1925" s="124"/>
      <c r="N1925" s="9"/>
    </row>
    <row r="1926" spans="1:14" x14ac:dyDescent="0.35">
      <c r="A1926" s="9"/>
      <c r="B1926" s="58"/>
      <c r="C1926" s="125"/>
      <c r="D1926" s="59"/>
      <c r="E1926" s="60"/>
      <c r="F1926" s="61"/>
      <c r="G1926"/>
      <c r="H1926"/>
      <c r="I1926" s="78"/>
      <c r="L1926" s="99"/>
      <c r="M1926" s="124"/>
      <c r="N1926" s="9"/>
    </row>
    <row r="1927" spans="1:14" x14ac:dyDescent="0.35">
      <c r="A1927" s="9"/>
      <c r="B1927" s="58"/>
      <c r="C1927" s="125"/>
      <c r="D1927" s="59"/>
      <c r="E1927" s="60"/>
      <c r="F1927" s="61"/>
      <c r="G1927"/>
      <c r="H1927"/>
      <c r="I1927" s="78"/>
      <c r="L1927" s="99"/>
      <c r="M1927" s="124"/>
      <c r="N1927" s="9"/>
    </row>
    <row r="1928" spans="1:14" x14ac:dyDescent="0.35">
      <c r="A1928" s="9"/>
      <c r="B1928" s="58"/>
      <c r="C1928" s="125"/>
      <c r="D1928" s="59"/>
      <c r="E1928" s="60"/>
      <c r="F1928" s="61"/>
      <c r="G1928"/>
      <c r="H1928"/>
      <c r="I1928" s="78"/>
      <c r="L1928" s="99"/>
      <c r="M1928" s="124"/>
      <c r="N1928" s="9"/>
    </row>
    <row r="1929" spans="1:14" x14ac:dyDescent="0.35">
      <c r="A1929" s="9"/>
      <c r="B1929" s="58"/>
      <c r="C1929" s="125"/>
      <c r="D1929" s="59"/>
      <c r="E1929" s="60"/>
      <c r="F1929" s="61"/>
      <c r="G1929"/>
      <c r="H1929"/>
      <c r="I1929" s="78"/>
      <c r="L1929" s="99"/>
      <c r="M1929" s="124"/>
      <c r="N1929" s="9"/>
    </row>
    <row r="1930" spans="1:14" x14ac:dyDescent="0.35">
      <c r="A1930" s="9"/>
      <c r="B1930" s="58"/>
      <c r="C1930" s="125"/>
      <c r="D1930" s="59"/>
      <c r="E1930" s="60"/>
      <c r="F1930" s="61"/>
      <c r="G1930"/>
      <c r="H1930"/>
      <c r="I1930" s="78"/>
      <c r="L1930" s="99"/>
      <c r="M1930" s="124"/>
      <c r="N1930" s="9"/>
    </row>
    <row r="1931" spans="1:14" x14ac:dyDescent="0.35">
      <c r="A1931" s="9"/>
      <c r="B1931" s="58"/>
      <c r="C1931" s="125"/>
      <c r="D1931" s="59"/>
      <c r="E1931" s="60"/>
      <c r="F1931" s="61"/>
      <c r="G1931"/>
      <c r="H1931"/>
      <c r="I1931" s="78"/>
      <c r="L1931" s="99"/>
      <c r="M1931" s="124"/>
      <c r="N1931" s="9"/>
    </row>
    <row r="1932" spans="1:14" x14ac:dyDescent="0.35">
      <c r="A1932" s="9"/>
      <c r="B1932" s="58"/>
      <c r="C1932" s="125"/>
      <c r="D1932" s="59"/>
      <c r="E1932" s="60"/>
      <c r="F1932" s="61"/>
      <c r="G1932"/>
      <c r="H1932"/>
      <c r="I1932" s="78"/>
      <c r="L1932" s="99"/>
      <c r="M1932" s="124"/>
      <c r="N1932" s="9"/>
    </row>
    <row r="1933" spans="1:14" x14ac:dyDescent="0.35">
      <c r="A1933" s="9"/>
      <c r="B1933" s="58"/>
      <c r="C1933" s="125"/>
      <c r="D1933" s="59"/>
      <c r="E1933" s="60"/>
      <c r="F1933" s="61"/>
      <c r="G1933"/>
      <c r="H1933"/>
      <c r="I1933" s="78"/>
      <c r="L1933" s="99"/>
      <c r="M1933" s="124"/>
      <c r="N1933" s="9"/>
    </row>
    <row r="1934" spans="1:14" x14ac:dyDescent="0.35">
      <c r="A1934" s="9"/>
      <c r="B1934" s="58"/>
      <c r="C1934" s="125"/>
      <c r="D1934" s="59"/>
      <c r="E1934" s="60"/>
      <c r="F1934" s="61"/>
      <c r="G1934"/>
      <c r="H1934"/>
      <c r="I1934" s="78"/>
      <c r="L1934" s="99"/>
      <c r="M1934" s="124"/>
      <c r="N1934" s="9"/>
    </row>
    <row r="1935" spans="1:14" x14ac:dyDescent="0.35">
      <c r="A1935" s="9"/>
      <c r="B1935" s="58"/>
      <c r="C1935" s="125"/>
      <c r="D1935" s="59"/>
      <c r="E1935" s="60"/>
      <c r="F1935" s="61"/>
      <c r="G1935"/>
      <c r="H1935"/>
      <c r="I1935" s="78"/>
      <c r="L1935" s="99"/>
      <c r="M1935" s="124"/>
      <c r="N1935" s="9"/>
    </row>
    <row r="1936" spans="1:14" x14ac:dyDescent="0.35">
      <c r="A1936" s="9"/>
      <c r="B1936" s="58"/>
      <c r="C1936" s="125"/>
      <c r="D1936" s="59"/>
      <c r="E1936" s="60"/>
      <c r="F1936" s="61"/>
      <c r="G1936"/>
      <c r="H1936"/>
      <c r="I1936" s="78"/>
      <c r="L1936" s="99"/>
      <c r="M1936" s="124"/>
      <c r="N1936" s="9"/>
    </row>
    <row r="1937" spans="1:14" x14ac:dyDescent="0.35">
      <c r="A1937" s="9"/>
      <c r="B1937" s="58"/>
      <c r="C1937" s="125"/>
      <c r="D1937" s="59"/>
      <c r="E1937" s="60"/>
      <c r="F1937" s="61"/>
      <c r="G1937"/>
      <c r="H1937"/>
      <c r="I1937" s="78"/>
      <c r="L1937" s="99"/>
      <c r="M1937" s="124"/>
      <c r="N1937" s="9"/>
    </row>
    <row r="1938" spans="1:14" x14ac:dyDescent="0.35">
      <c r="A1938" s="9"/>
      <c r="B1938" s="58"/>
      <c r="C1938" s="125"/>
      <c r="D1938" s="59"/>
      <c r="E1938" s="60"/>
      <c r="F1938" s="61"/>
      <c r="G1938"/>
      <c r="H1938"/>
      <c r="I1938" s="78"/>
      <c r="L1938" s="99"/>
      <c r="M1938" s="124"/>
      <c r="N1938" s="9"/>
    </row>
    <row r="1939" spans="1:14" x14ac:dyDescent="0.35">
      <c r="A1939" s="9"/>
      <c r="B1939" s="58"/>
      <c r="C1939" s="125"/>
      <c r="D1939" s="59"/>
      <c r="E1939" s="60"/>
      <c r="F1939" s="61"/>
      <c r="G1939"/>
      <c r="H1939"/>
      <c r="I1939" s="78"/>
      <c r="L1939" s="99"/>
      <c r="M1939" s="124"/>
      <c r="N1939" s="9"/>
    </row>
    <row r="1940" spans="1:14" x14ac:dyDescent="0.35">
      <c r="A1940" s="9"/>
      <c r="B1940" s="58"/>
      <c r="C1940" s="125"/>
      <c r="D1940" s="59"/>
      <c r="E1940" s="60"/>
      <c r="F1940" s="61"/>
      <c r="G1940"/>
      <c r="H1940"/>
      <c r="I1940" s="78"/>
      <c r="L1940" s="99"/>
      <c r="M1940" s="124"/>
      <c r="N1940" s="9"/>
    </row>
    <row r="1941" spans="1:14" x14ac:dyDescent="0.35">
      <c r="A1941" s="9"/>
      <c r="B1941" s="58"/>
      <c r="C1941" s="125"/>
      <c r="D1941" s="59"/>
      <c r="E1941" s="60"/>
      <c r="F1941" s="61"/>
      <c r="G1941"/>
      <c r="H1941"/>
      <c r="I1941" s="78"/>
      <c r="L1941" s="99"/>
      <c r="M1941" s="124"/>
      <c r="N1941" s="9"/>
    </row>
    <row r="1942" spans="1:14" x14ac:dyDescent="0.35">
      <c r="A1942" s="9"/>
      <c r="B1942" s="58"/>
      <c r="C1942" s="125"/>
      <c r="D1942" s="59"/>
      <c r="E1942" s="60"/>
      <c r="F1942" s="61"/>
      <c r="G1942"/>
      <c r="H1942"/>
      <c r="I1942" s="78"/>
      <c r="L1942" s="99"/>
      <c r="M1942" s="124"/>
      <c r="N1942" s="9"/>
    </row>
    <row r="1943" spans="1:14" x14ac:dyDescent="0.35">
      <c r="A1943" s="9"/>
      <c r="B1943" s="58"/>
      <c r="C1943" s="125"/>
      <c r="D1943" s="59"/>
      <c r="E1943" s="60"/>
      <c r="F1943" s="61"/>
      <c r="G1943"/>
      <c r="H1943"/>
      <c r="I1943" s="78"/>
      <c r="L1943" s="99"/>
      <c r="M1943" s="124"/>
      <c r="N1943" s="9"/>
    </row>
    <row r="1944" spans="1:14" x14ac:dyDescent="0.35">
      <c r="A1944" s="9"/>
      <c r="B1944" s="58"/>
      <c r="C1944" s="125"/>
      <c r="D1944" s="59"/>
      <c r="E1944" s="60"/>
      <c r="F1944" s="61"/>
      <c r="G1944"/>
      <c r="H1944"/>
      <c r="I1944" s="78"/>
      <c r="L1944" s="99"/>
      <c r="M1944" s="124"/>
      <c r="N1944" s="9"/>
    </row>
    <row r="1945" spans="1:14" x14ac:dyDescent="0.35">
      <c r="A1945" s="9"/>
      <c r="B1945" s="58"/>
      <c r="C1945" s="125"/>
      <c r="D1945" s="59"/>
      <c r="E1945" s="60"/>
      <c r="F1945" s="61"/>
      <c r="G1945"/>
      <c r="H1945"/>
      <c r="I1945" s="78"/>
      <c r="L1945" s="99"/>
      <c r="M1945" s="124"/>
      <c r="N1945" s="9"/>
    </row>
    <row r="1946" spans="1:14" x14ac:dyDescent="0.35">
      <c r="A1946" s="9"/>
      <c r="B1946" s="58"/>
      <c r="C1946" s="125"/>
      <c r="D1946" s="59"/>
      <c r="E1946" s="60"/>
      <c r="F1946" s="61"/>
      <c r="G1946"/>
      <c r="H1946"/>
      <c r="I1946" s="78"/>
      <c r="L1946" s="99"/>
      <c r="M1946" s="124"/>
      <c r="N1946" s="9"/>
    </row>
    <row r="1947" spans="1:14" x14ac:dyDescent="0.35">
      <c r="A1947" s="9"/>
      <c r="B1947" s="58"/>
      <c r="C1947" s="125"/>
      <c r="D1947" s="59"/>
      <c r="E1947" s="60"/>
      <c r="F1947" s="61"/>
      <c r="G1947"/>
      <c r="H1947"/>
      <c r="I1947" s="78"/>
      <c r="L1947" s="99"/>
      <c r="M1947" s="124"/>
      <c r="N1947" s="9"/>
    </row>
    <row r="1948" spans="1:14" x14ac:dyDescent="0.35">
      <c r="A1948" s="9"/>
      <c r="B1948" s="58"/>
      <c r="C1948" s="125"/>
      <c r="D1948" s="59"/>
      <c r="E1948" s="60"/>
      <c r="F1948" s="61"/>
      <c r="G1948"/>
      <c r="H1948"/>
      <c r="I1948" s="78"/>
      <c r="L1948" s="99"/>
      <c r="M1948" s="124"/>
      <c r="N1948" s="9"/>
    </row>
    <row r="1949" spans="1:14" x14ac:dyDescent="0.35">
      <c r="A1949" s="9"/>
      <c r="B1949" s="58"/>
      <c r="C1949" s="125"/>
      <c r="D1949" s="59"/>
      <c r="E1949" s="60"/>
      <c r="F1949" s="61"/>
      <c r="G1949"/>
      <c r="H1949"/>
      <c r="I1949" s="78"/>
      <c r="L1949" s="99"/>
      <c r="M1949" s="124"/>
      <c r="N1949" s="9"/>
    </row>
    <row r="1950" spans="1:14" x14ac:dyDescent="0.35">
      <c r="A1950" s="9"/>
      <c r="B1950" s="58"/>
      <c r="C1950" s="125"/>
      <c r="D1950" s="59"/>
      <c r="E1950" s="60"/>
      <c r="F1950" s="61"/>
      <c r="G1950"/>
      <c r="H1950"/>
      <c r="I1950" s="78"/>
      <c r="L1950" s="99"/>
      <c r="M1950" s="124"/>
      <c r="N1950" s="9"/>
    </row>
    <row r="1951" spans="1:14" x14ac:dyDescent="0.35">
      <c r="A1951" s="9"/>
      <c r="B1951" s="58"/>
      <c r="C1951" s="125"/>
      <c r="D1951" s="59"/>
      <c r="E1951" s="60"/>
      <c r="F1951" s="61"/>
      <c r="G1951"/>
      <c r="H1951"/>
      <c r="I1951" s="78"/>
      <c r="L1951" s="99"/>
      <c r="M1951" s="124"/>
      <c r="N1951" s="9"/>
    </row>
    <row r="1952" spans="1:14" x14ac:dyDescent="0.35">
      <c r="A1952" s="9"/>
      <c r="B1952" s="58"/>
      <c r="C1952" s="125"/>
      <c r="D1952" s="59"/>
      <c r="E1952" s="60"/>
      <c r="F1952" s="61"/>
      <c r="G1952"/>
      <c r="H1952"/>
      <c r="I1952" s="78"/>
      <c r="L1952" s="99"/>
      <c r="M1952" s="124"/>
      <c r="N1952" s="9"/>
    </row>
    <row r="1953" spans="1:14" x14ac:dyDescent="0.35">
      <c r="A1953" s="9"/>
      <c r="B1953" s="58"/>
      <c r="C1953" s="125"/>
      <c r="D1953" s="59"/>
      <c r="E1953" s="60"/>
      <c r="F1953" s="61"/>
      <c r="G1953"/>
      <c r="H1953"/>
      <c r="I1953" s="78"/>
      <c r="L1953" s="99"/>
      <c r="M1953" s="124"/>
      <c r="N1953" s="9"/>
    </row>
    <row r="1954" spans="1:14" x14ac:dyDescent="0.35">
      <c r="A1954" s="9"/>
      <c r="B1954" s="58"/>
      <c r="C1954" s="125"/>
      <c r="D1954" s="59"/>
      <c r="E1954" s="60"/>
      <c r="F1954" s="61"/>
      <c r="G1954"/>
      <c r="H1954"/>
      <c r="I1954" s="78"/>
      <c r="L1954" s="99"/>
      <c r="M1954" s="124"/>
      <c r="N1954" s="9"/>
    </row>
    <row r="1955" spans="1:14" x14ac:dyDescent="0.35">
      <c r="A1955" s="9"/>
      <c r="B1955" s="58"/>
      <c r="C1955" s="125"/>
      <c r="D1955" s="59"/>
      <c r="E1955" s="60"/>
      <c r="F1955" s="61"/>
      <c r="G1955"/>
      <c r="H1955"/>
      <c r="I1955" s="78"/>
      <c r="L1955" s="99"/>
      <c r="M1955" s="124"/>
      <c r="N1955" s="9"/>
    </row>
    <row r="1956" spans="1:14" x14ac:dyDescent="0.35">
      <c r="A1956" s="9"/>
      <c r="B1956" s="58"/>
      <c r="C1956" s="125"/>
      <c r="D1956" s="59"/>
      <c r="E1956" s="60"/>
      <c r="F1956" s="61"/>
      <c r="G1956"/>
      <c r="H1956"/>
      <c r="I1956" s="78"/>
      <c r="L1956" s="99"/>
      <c r="M1956" s="124"/>
      <c r="N1956" s="9"/>
    </row>
    <row r="1957" spans="1:14" x14ac:dyDescent="0.35">
      <c r="A1957" s="9"/>
      <c r="B1957" s="58"/>
      <c r="C1957" s="125"/>
      <c r="D1957" s="59"/>
      <c r="E1957" s="60"/>
      <c r="F1957" s="61"/>
      <c r="G1957"/>
      <c r="H1957"/>
      <c r="I1957" s="78"/>
      <c r="L1957" s="99"/>
      <c r="M1957" s="124"/>
      <c r="N1957" s="9"/>
    </row>
    <row r="1958" spans="1:14" x14ac:dyDescent="0.35">
      <c r="A1958" s="9"/>
      <c r="B1958" s="58"/>
      <c r="C1958" s="125"/>
      <c r="D1958" s="59"/>
      <c r="E1958" s="60"/>
      <c r="F1958" s="61"/>
      <c r="G1958"/>
      <c r="H1958"/>
      <c r="I1958" s="78"/>
      <c r="L1958" s="99"/>
      <c r="M1958" s="124"/>
      <c r="N1958" s="9"/>
    </row>
    <row r="1959" spans="1:14" x14ac:dyDescent="0.35">
      <c r="A1959" s="9"/>
      <c r="B1959" s="58"/>
      <c r="C1959" s="125"/>
      <c r="D1959" s="59"/>
      <c r="E1959" s="60"/>
      <c r="F1959" s="61"/>
      <c r="G1959"/>
      <c r="H1959"/>
      <c r="I1959" s="78"/>
      <c r="L1959" s="99"/>
      <c r="M1959" s="124"/>
      <c r="N1959" s="9"/>
    </row>
    <row r="1960" spans="1:14" x14ac:dyDescent="0.35">
      <c r="A1960" s="9"/>
      <c r="B1960" s="58"/>
      <c r="C1960" s="125"/>
      <c r="D1960" s="59"/>
      <c r="E1960" s="60"/>
      <c r="F1960" s="61"/>
      <c r="G1960"/>
      <c r="H1960"/>
      <c r="I1960" s="78"/>
      <c r="L1960" s="99"/>
      <c r="M1960" s="124"/>
      <c r="N1960" s="9"/>
    </row>
    <row r="1961" spans="1:14" x14ac:dyDescent="0.35">
      <c r="A1961" s="9"/>
      <c r="B1961" s="58"/>
      <c r="C1961" s="125"/>
      <c r="D1961" s="59"/>
      <c r="E1961" s="60"/>
      <c r="F1961" s="61"/>
      <c r="G1961"/>
      <c r="H1961"/>
      <c r="I1961" s="78"/>
      <c r="L1961" s="99"/>
      <c r="M1961" s="124"/>
      <c r="N1961" s="9"/>
    </row>
    <row r="1962" spans="1:14" x14ac:dyDescent="0.35">
      <c r="A1962" s="9"/>
      <c r="B1962" s="58"/>
      <c r="C1962" s="125"/>
      <c r="D1962" s="59"/>
      <c r="E1962" s="60"/>
      <c r="F1962" s="61"/>
      <c r="G1962"/>
      <c r="H1962"/>
      <c r="I1962" s="78"/>
      <c r="L1962" s="99"/>
      <c r="M1962" s="124"/>
      <c r="N1962" s="9"/>
    </row>
    <row r="1963" spans="1:14" x14ac:dyDescent="0.35">
      <c r="A1963" s="9"/>
      <c r="B1963" s="58"/>
      <c r="C1963" s="125"/>
      <c r="D1963" s="59"/>
      <c r="E1963" s="60"/>
      <c r="F1963" s="61"/>
      <c r="G1963"/>
      <c r="H1963"/>
      <c r="I1963" s="78"/>
      <c r="L1963" s="99"/>
      <c r="M1963" s="124"/>
      <c r="N1963" s="9"/>
    </row>
    <row r="1964" spans="1:14" x14ac:dyDescent="0.35">
      <c r="A1964" s="9"/>
      <c r="B1964" s="58"/>
      <c r="C1964" s="125"/>
      <c r="D1964" s="59"/>
      <c r="E1964" s="60"/>
      <c r="F1964" s="61"/>
      <c r="G1964"/>
      <c r="H1964"/>
      <c r="I1964" s="78"/>
      <c r="L1964" s="99"/>
      <c r="M1964" s="124"/>
      <c r="N1964" s="9"/>
    </row>
    <row r="1965" spans="1:14" x14ac:dyDescent="0.35">
      <c r="A1965" s="9"/>
      <c r="B1965" s="58"/>
      <c r="C1965" s="125"/>
      <c r="D1965" s="59"/>
      <c r="E1965" s="60"/>
      <c r="F1965" s="61"/>
      <c r="G1965"/>
      <c r="H1965"/>
      <c r="I1965" s="78"/>
      <c r="L1965" s="99"/>
      <c r="M1965" s="124"/>
      <c r="N1965" s="9"/>
    </row>
    <row r="1966" spans="1:14" x14ac:dyDescent="0.35">
      <c r="A1966" s="9"/>
      <c r="B1966" s="58"/>
      <c r="C1966" s="125"/>
      <c r="D1966" s="59"/>
      <c r="E1966" s="60"/>
      <c r="F1966" s="61"/>
      <c r="G1966"/>
      <c r="H1966"/>
      <c r="I1966" s="78"/>
      <c r="L1966" s="99"/>
      <c r="M1966" s="124"/>
      <c r="N1966" s="9"/>
    </row>
    <row r="1967" spans="1:14" x14ac:dyDescent="0.35">
      <c r="A1967" s="9"/>
      <c r="B1967" s="58"/>
      <c r="C1967" s="125"/>
      <c r="D1967" s="59"/>
      <c r="E1967" s="60"/>
      <c r="F1967" s="61"/>
      <c r="G1967"/>
      <c r="H1967"/>
      <c r="I1967" s="78"/>
      <c r="L1967" s="99"/>
      <c r="M1967" s="124"/>
      <c r="N1967" s="9"/>
    </row>
    <row r="1968" spans="1:14" x14ac:dyDescent="0.35">
      <c r="A1968" s="9"/>
      <c r="B1968" s="58"/>
      <c r="C1968" s="125"/>
      <c r="D1968" s="59"/>
      <c r="E1968" s="60"/>
      <c r="F1968" s="61"/>
      <c r="G1968"/>
      <c r="H1968"/>
      <c r="I1968" s="78"/>
      <c r="L1968" s="99"/>
      <c r="M1968" s="124"/>
      <c r="N1968" s="9"/>
    </row>
    <row r="1969" spans="1:14" x14ac:dyDescent="0.35">
      <c r="A1969" s="9"/>
      <c r="B1969" s="58"/>
      <c r="C1969" s="125"/>
      <c r="D1969" s="59"/>
      <c r="E1969" s="60"/>
      <c r="F1969" s="61"/>
      <c r="G1969"/>
      <c r="H1969"/>
      <c r="I1969" s="78"/>
      <c r="L1969" s="99"/>
      <c r="M1969" s="124"/>
      <c r="N1969" s="9"/>
    </row>
    <row r="1970" spans="1:14" x14ac:dyDescent="0.35">
      <c r="A1970" s="9"/>
      <c r="B1970" s="58"/>
      <c r="C1970" s="125"/>
      <c r="D1970" s="59"/>
      <c r="E1970" s="60"/>
      <c r="F1970" s="61"/>
      <c r="G1970"/>
      <c r="H1970"/>
      <c r="I1970" s="78"/>
      <c r="L1970" s="99"/>
      <c r="M1970" s="124"/>
      <c r="N1970" s="9"/>
    </row>
    <row r="1971" spans="1:14" x14ac:dyDescent="0.35">
      <c r="A1971" s="9"/>
      <c r="B1971" s="58"/>
      <c r="C1971" s="125"/>
      <c r="D1971" s="59"/>
      <c r="E1971" s="60"/>
      <c r="F1971" s="61"/>
      <c r="G1971"/>
      <c r="H1971"/>
      <c r="I1971" s="78"/>
      <c r="L1971" s="99"/>
      <c r="M1971" s="124"/>
      <c r="N1971" s="9"/>
    </row>
    <row r="1972" spans="1:14" x14ac:dyDescent="0.35">
      <c r="A1972" s="9"/>
      <c r="B1972" s="58"/>
      <c r="C1972" s="125"/>
      <c r="D1972" s="59"/>
      <c r="E1972" s="60"/>
      <c r="F1972" s="61"/>
      <c r="G1972"/>
      <c r="H1972"/>
      <c r="I1972" s="78"/>
      <c r="L1972" s="99"/>
      <c r="M1972" s="124"/>
      <c r="N1972" s="9"/>
    </row>
    <row r="1973" spans="1:14" x14ac:dyDescent="0.35">
      <c r="A1973" s="9"/>
      <c r="B1973" s="58"/>
      <c r="C1973" s="125"/>
      <c r="D1973" s="59"/>
      <c r="E1973" s="60"/>
      <c r="F1973" s="61"/>
      <c r="G1973"/>
      <c r="H1973"/>
      <c r="I1973" s="78"/>
      <c r="L1973" s="99"/>
      <c r="M1973" s="124"/>
      <c r="N1973" s="9"/>
    </row>
    <row r="1974" spans="1:14" x14ac:dyDescent="0.35">
      <c r="A1974" s="9"/>
      <c r="B1974" s="58"/>
      <c r="C1974" s="125"/>
      <c r="D1974" s="59"/>
      <c r="E1974" s="60"/>
      <c r="F1974" s="61"/>
      <c r="G1974"/>
      <c r="H1974"/>
      <c r="I1974" s="78"/>
      <c r="L1974" s="99"/>
      <c r="M1974" s="124"/>
      <c r="N1974" s="9"/>
    </row>
    <row r="1975" spans="1:14" x14ac:dyDescent="0.35">
      <c r="A1975" s="9"/>
      <c r="B1975" s="58"/>
      <c r="C1975" s="125"/>
      <c r="D1975" s="59"/>
      <c r="E1975" s="60"/>
      <c r="F1975" s="61"/>
      <c r="G1975"/>
      <c r="H1975"/>
      <c r="I1975" s="78"/>
      <c r="L1975" s="99"/>
      <c r="M1975" s="124"/>
      <c r="N1975" s="9"/>
    </row>
    <row r="1976" spans="1:14" x14ac:dyDescent="0.35">
      <c r="A1976" s="9"/>
      <c r="B1976" s="58"/>
      <c r="C1976" s="125"/>
      <c r="D1976" s="59"/>
      <c r="E1976" s="60"/>
      <c r="F1976" s="61"/>
      <c r="G1976"/>
      <c r="H1976"/>
      <c r="I1976" s="78"/>
      <c r="L1976" s="99"/>
      <c r="M1976" s="124"/>
      <c r="N1976" s="9"/>
    </row>
    <row r="1977" spans="1:14" x14ac:dyDescent="0.35">
      <c r="A1977" s="9"/>
      <c r="B1977" s="58"/>
      <c r="C1977" s="125"/>
      <c r="D1977" s="59"/>
      <c r="E1977" s="60"/>
      <c r="F1977" s="61"/>
      <c r="G1977"/>
      <c r="H1977"/>
      <c r="I1977" s="78"/>
      <c r="L1977" s="99"/>
      <c r="M1977" s="124"/>
      <c r="N1977" s="9"/>
    </row>
    <row r="1978" spans="1:14" x14ac:dyDescent="0.35">
      <c r="A1978" s="9"/>
      <c r="B1978" s="58"/>
      <c r="C1978" s="125"/>
      <c r="D1978" s="59"/>
      <c r="E1978" s="60"/>
      <c r="F1978" s="61"/>
      <c r="G1978"/>
      <c r="H1978"/>
      <c r="I1978" s="78"/>
      <c r="L1978" s="99"/>
      <c r="M1978" s="124"/>
      <c r="N1978" s="9"/>
    </row>
    <row r="1979" spans="1:14" x14ac:dyDescent="0.35">
      <c r="A1979" s="9"/>
      <c r="B1979" s="58"/>
      <c r="C1979" s="125"/>
      <c r="D1979" s="59"/>
      <c r="E1979" s="60"/>
      <c r="F1979" s="61"/>
      <c r="G1979"/>
      <c r="H1979"/>
      <c r="I1979" s="78"/>
      <c r="L1979" s="99"/>
      <c r="M1979" s="124"/>
      <c r="N1979" s="9"/>
    </row>
    <row r="1980" spans="1:14" x14ac:dyDescent="0.35">
      <c r="A1980" s="9"/>
      <c r="B1980" s="58"/>
      <c r="C1980" s="125"/>
      <c r="D1980" s="59"/>
      <c r="E1980" s="60"/>
      <c r="F1980" s="61"/>
      <c r="G1980"/>
      <c r="H1980"/>
      <c r="I1980" s="78"/>
      <c r="L1980" s="99"/>
      <c r="M1980" s="124"/>
      <c r="N1980" s="9"/>
    </row>
    <row r="1981" spans="1:14" x14ac:dyDescent="0.35">
      <c r="A1981" s="9"/>
      <c r="B1981" s="58"/>
      <c r="C1981" s="125"/>
      <c r="D1981" s="59"/>
      <c r="E1981" s="60"/>
      <c r="F1981" s="61"/>
      <c r="G1981"/>
      <c r="H1981"/>
      <c r="I1981" s="78"/>
      <c r="L1981" s="99"/>
      <c r="M1981" s="124"/>
      <c r="N1981" s="9"/>
    </row>
    <row r="1982" spans="1:14" x14ac:dyDescent="0.35">
      <c r="A1982" s="9"/>
      <c r="B1982" s="58"/>
      <c r="C1982" s="125"/>
      <c r="D1982" s="59"/>
      <c r="E1982" s="60"/>
      <c r="F1982" s="61"/>
      <c r="G1982"/>
      <c r="H1982"/>
      <c r="I1982" s="78"/>
      <c r="L1982" s="99"/>
      <c r="M1982" s="124"/>
      <c r="N1982" s="9"/>
    </row>
    <row r="1983" spans="1:14" x14ac:dyDescent="0.35">
      <c r="A1983" s="9"/>
      <c r="B1983" s="58"/>
      <c r="C1983" s="125"/>
      <c r="D1983" s="59"/>
      <c r="E1983" s="60"/>
      <c r="F1983" s="61"/>
      <c r="G1983"/>
      <c r="H1983"/>
      <c r="I1983" s="78"/>
      <c r="L1983" s="99"/>
      <c r="M1983" s="124"/>
      <c r="N1983" s="9"/>
    </row>
    <row r="1984" spans="1:14" x14ac:dyDescent="0.35">
      <c r="A1984" s="9"/>
      <c r="B1984" s="58"/>
      <c r="C1984" s="125"/>
      <c r="D1984" s="59"/>
      <c r="E1984" s="60"/>
      <c r="F1984" s="61"/>
      <c r="G1984"/>
      <c r="H1984"/>
      <c r="I1984" s="78"/>
      <c r="L1984" s="99"/>
      <c r="M1984" s="124"/>
      <c r="N1984" s="9"/>
    </row>
    <row r="1985" spans="1:14" x14ac:dyDescent="0.35">
      <c r="A1985" s="9"/>
      <c r="B1985" s="58"/>
      <c r="C1985" s="125"/>
      <c r="D1985" s="59"/>
      <c r="E1985" s="60"/>
      <c r="F1985" s="61"/>
      <c r="G1985"/>
      <c r="H1985"/>
      <c r="I1985" s="78"/>
      <c r="L1985" s="99"/>
      <c r="M1985" s="124"/>
      <c r="N1985" s="9"/>
    </row>
    <row r="1986" spans="1:14" x14ac:dyDescent="0.35">
      <c r="A1986" s="9"/>
      <c r="B1986" s="58"/>
      <c r="C1986" s="125"/>
      <c r="D1986" s="59"/>
      <c r="E1986" s="60"/>
      <c r="F1986" s="61"/>
      <c r="G1986"/>
      <c r="H1986"/>
      <c r="I1986" s="78"/>
      <c r="L1986" s="99"/>
      <c r="M1986" s="124"/>
      <c r="N1986" s="9"/>
    </row>
    <row r="1987" spans="1:14" x14ac:dyDescent="0.35">
      <c r="A1987" s="9"/>
      <c r="B1987" s="58"/>
      <c r="C1987" s="125"/>
      <c r="D1987" s="59"/>
      <c r="E1987" s="60"/>
      <c r="F1987" s="61"/>
      <c r="G1987"/>
      <c r="H1987"/>
      <c r="I1987" s="78"/>
      <c r="L1987" s="99"/>
      <c r="M1987" s="124"/>
      <c r="N1987" s="9"/>
    </row>
    <row r="1988" spans="1:14" x14ac:dyDescent="0.35">
      <c r="A1988" s="9"/>
      <c r="B1988" s="58"/>
      <c r="C1988" s="125"/>
      <c r="D1988" s="59"/>
      <c r="E1988" s="60"/>
      <c r="F1988" s="61"/>
      <c r="G1988"/>
      <c r="H1988"/>
      <c r="I1988" s="78"/>
      <c r="L1988" s="99"/>
      <c r="M1988" s="124"/>
      <c r="N1988" s="9"/>
    </row>
    <row r="1989" spans="1:14" x14ac:dyDescent="0.35">
      <c r="A1989" s="9"/>
      <c r="B1989" s="58"/>
      <c r="C1989" s="125"/>
      <c r="D1989" s="59"/>
      <c r="E1989" s="60"/>
      <c r="F1989" s="61"/>
      <c r="G1989"/>
      <c r="H1989"/>
      <c r="I1989" s="78"/>
      <c r="L1989" s="99"/>
      <c r="M1989" s="124"/>
      <c r="N1989" s="9"/>
    </row>
    <row r="1990" spans="1:14" x14ac:dyDescent="0.35">
      <c r="A1990" s="9"/>
      <c r="B1990" s="58"/>
      <c r="C1990" s="125"/>
      <c r="D1990" s="59"/>
      <c r="E1990" s="60"/>
      <c r="F1990" s="61"/>
      <c r="G1990"/>
      <c r="H1990"/>
      <c r="I1990" s="78"/>
      <c r="L1990" s="99"/>
      <c r="M1990" s="124"/>
      <c r="N1990" s="9"/>
    </row>
    <row r="1991" spans="1:14" x14ac:dyDescent="0.35">
      <c r="A1991" s="9"/>
      <c r="B1991" s="58"/>
      <c r="C1991" s="125"/>
      <c r="D1991" s="59"/>
      <c r="E1991" s="60"/>
      <c r="F1991" s="61"/>
      <c r="G1991"/>
      <c r="H1991"/>
      <c r="I1991" s="78"/>
      <c r="L1991" s="99"/>
      <c r="M1991" s="124"/>
      <c r="N1991" s="9"/>
    </row>
    <row r="1992" spans="1:14" x14ac:dyDescent="0.35">
      <c r="A1992" s="9"/>
      <c r="B1992" s="58"/>
      <c r="C1992" s="125"/>
      <c r="D1992" s="59"/>
      <c r="E1992" s="60"/>
      <c r="F1992" s="61"/>
      <c r="G1992"/>
      <c r="H1992"/>
      <c r="I1992" s="78"/>
      <c r="L1992" s="99"/>
      <c r="M1992" s="124"/>
      <c r="N1992" s="9"/>
    </row>
    <row r="1993" spans="1:14" x14ac:dyDescent="0.35">
      <c r="A1993" s="9"/>
      <c r="B1993" s="58"/>
      <c r="C1993" s="125"/>
      <c r="D1993" s="59"/>
      <c r="E1993" s="60"/>
      <c r="F1993" s="61"/>
      <c r="G1993"/>
      <c r="H1993"/>
      <c r="I1993" s="78"/>
      <c r="L1993" s="99"/>
      <c r="M1993" s="124"/>
      <c r="N1993" s="9"/>
    </row>
    <row r="1994" spans="1:14" x14ac:dyDescent="0.35">
      <c r="A1994" s="9"/>
      <c r="B1994" s="58"/>
      <c r="C1994" s="125"/>
      <c r="D1994" s="59"/>
      <c r="E1994" s="60"/>
      <c r="F1994" s="61"/>
      <c r="G1994"/>
      <c r="H1994"/>
      <c r="I1994" s="78"/>
      <c r="L1994" s="99"/>
      <c r="M1994" s="124"/>
      <c r="N1994" s="9"/>
    </row>
    <row r="1995" spans="1:14" x14ac:dyDescent="0.35">
      <c r="A1995" s="9"/>
      <c r="B1995" s="58"/>
      <c r="C1995" s="125"/>
      <c r="D1995" s="59"/>
      <c r="E1995" s="60"/>
      <c r="F1995" s="61"/>
      <c r="G1995"/>
      <c r="H1995"/>
      <c r="I1995" s="78"/>
      <c r="L1995" s="99"/>
      <c r="M1995" s="124"/>
      <c r="N1995" s="9"/>
    </row>
    <row r="1996" spans="1:14" x14ac:dyDescent="0.35">
      <c r="A1996" s="9"/>
      <c r="B1996" s="58"/>
      <c r="C1996" s="125"/>
      <c r="D1996" s="59"/>
      <c r="E1996" s="60"/>
      <c r="F1996" s="61"/>
      <c r="G1996"/>
      <c r="H1996"/>
      <c r="I1996" s="78"/>
      <c r="L1996" s="99"/>
      <c r="M1996" s="124"/>
      <c r="N1996" s="9"/>
    </row>
    <row r="1997" spans="1:14" x14ac:dyDescent="0.35">
      <c r="A1997" s="9"/>
      <c r="B1997" s="58"/>
      <c r="C1997" s="125"/>
      <c r="D1997" s="59"/>
      <c r="E1997" s="60"/>
      <c r="F1997" s="61"/>
      <c r="G1997"/>
      <c r="H1997"/>
      <c r="I1997" s="78"/>
      <c r="L1997" s="99"/>
      <c r="M1997" s="124"/>
      <c r="N1997" s="9"/>
    </row>
    <row r="1998" spans="1:14" x14ac:dyDescent="0.35">
      <c r="A1998" s="9"/>
      <c r="B1998" s="58"/>
      <c r="C1998" s="125"/>
      <c r="D1998" s="59"/>
      <c r="E1998" s="60"/>
      <c r="F1998" s="61"/>
      <c r="G1998"/>
      <c r="H1998"/>
      <c r="I1998" s="78"/>
      <c r="L1998" s="99"/>
      <c r="M1998" s="124"/>
      <c r="N1998" s="9"/>
    </row>
    <row r="1999" spans="1:14" x14ac:dyDescent="0.35">
      <c r="A1999" s="9"/>
      <c r="B1999" s="58"/>
      <c r="C1999" s="125"/>
      <c r="D1999" s="59"/>
      <c r="E1999" s="60"/>
      <c r="F1999" s="61"/>
      <c r="G1999"/>
      <c r="H1999"/>
      <c r="I1999" s="78"/>
      <c r="L1999" s="99"/>
      <c r="M1999" s="124"/>
      <c r="N1999" s="9"/>
    </row>
    <row r="2000" spans="1:14" x14ac:dyDescent="0.35">
      <c r="A2000" s="9"/>
      <c r="B2000" s="58"/>
      <c r="C2000" s="125"/>
      <c r="D2000" s="59"/>
      <c r="E2000" s="60"/>
      <c r="F2000" s="61"/>
      <c r="G2000"/>
      <c r="H2000"/>
      <c r="I2000" s="78"/>
      <c r="L2000" s="99"/>
      <c r="M2000" s="124"/>
      <c r="N2000" s="9"/>
    </row>
    <row r="2001" spans="1:14" x14ac:dyDescent="0.35">
      <c r="A2001" s="9"/>
      <c r="B2001" s="58"/>
      <c r="C2001" s="125"/>
      <c r="D2001" s="59"/>
      <c r="E2001" s="60"/>
      <c r="F2001" s="61"/>
      <c r="G2001"/>
      <c r="H2001"/>
      <c r="I2001" s="78"/>
      <c r="L2001" s="99"/>
      <c r="M2001" s="124"/>
      <c r="N2001" s="9"/>
    </row>
    <row r="2002" spans="1:14" x14ac:dyDescent="0.35">
      <c r="A2002" s="9"/>
      <c r="B2002" s="58"/>
      <c r="C2002" s="125"/>
      <c r="D2002" s="59"/>
      <c r="E2002" s="60"/>
      <c r="F2002" s="61"/>
      <c r="G2002"/>
      <c r="H2002"/>
      <c r="I2002" s="78"/>
      <c r="L2002" s="99"/>
      <c r="M2002" s="124"/>
      <c r="N2002" s="9"/>
    </row>
    <row r="2003" spans="1:14" x14ac:dyDescent="0.35">
      <c r="A2003" s="9"/>
      <c r="B2003" s="58"/>
      <c r="C2003" s="125"/>
      <c r="D2003" s="59"/>
      <c r="E2003" s="60"/>
      <c r="F2003" s="61"/>
      <c r="G2003"/>
      <c r="H2003"/>
      <c r="I2003" s="78"/>
      <c r="L2003" s="99"/>
      <c r="M2003" s="124"/>
      <c r="N2003" s="9"/>
    </row>
    <row r="2004" spans="1:14" x14ac:dyDescent="0.35">
      <c r="A2004" s="9"/>
      <c r="B2004" s="58"/>
      <c r="C2004" s="125"/>
      <c r="D2004" s="59"/>
      <c r="E2004" s="60"/>
      <c r="F2004" s="61"/>
      <c r="G2004"/>
      <c r="H2004"/>
      <c r="I2004" s="78"/>
      <c r="L2004" s="99"/>
      <c r="M2004" s="124"/>
      <c r="N2004" s="9"/>
    </row>
    <row r="2005" spans="1:14" x14ac:dyDescent="0.35">
      <c r="A2005" s="9"/>
      <c r="B2005" s="58"/>
      <c r="C2005" s="125"/>
      <c r="D2005" s="59"/>
      <c r="E2005" s="60"/>
      <c r="F2005" s="61"/>
      <c r="G2005"/>
      <c r="H2005"/>
      <c r="I2005" s="78"/>
      <c r="L2005" s="99"/>
      <c r="M2005" s="124"/>
      <c r="N2005" s="9"/>
    </row>
    <row r="2006" spans="1:14" x14ac:dyDescent="0.35">
      <c r="A2006" s="9"/>
      <c r="B2006" s="58"/>
      <c r="C2006" s="125"/>
      <c r="D2006" s="59"/>
      <c r="E2006" s="60"/>
      <c r="F2006" s="61"/>
      <c r="G2006"/>
      <c r="H2006"/>
      <c r="I2006" s="78"/>
      <c r="L2006" s="99"/>
      <c r="M2006" s="124"/>
      <c r="N2006" s="9"/>
    </row>
    <row r="2007" spans="1:14" x14ac:dyDescent="0.35">
      <c r="A2007" s="9"/>
      <c r="B2007" s="58"/>
      <c r="C2007" s="125"/>
      <c r="D2007" s="59"/>
      <c r="E2007" s="60"/>
      <c r="F2007" s="61"/>
      <c r="G2007"/>
      <c r="H2007"/>
      <c r="I2007" s="78"/>
      <c r="L2007" s="99"/>
      <c r="M2007" s="124"/>
      <c r="N2007" s="9"/>
    </row>
    <row r="2008" spans="1:14" x14ac:dyDescent="0.35">
      <c r="A2008" s="9"/>
      <c r="B2008" s="58"/>
      <c r="C2008" s="125"/>
      <c r="D2008" s="59"/>
      <c r="E2008" s="60"/>
      <c r="F2008" s="61"/>
      <c r="G2008"/>
      <c r="H2008"/>
      <c r="I2008" s="78"/>
      <c r="L2008" s="99"/>
      <c r="M2008" s="124"/>
      <c r="N2008" s="9"/>
    </row>
    <row r="2009" spans="1:14" x14ac:dyDescent="0.35">
      <c r="A2009" s="9"/>
      <c r="B2009" s="58"/>
      <c r="C2009" s="125"/>
      <c r="D2009" s="59"/>
      <c r="E2009" s="60"/>
      <c r="F2009" s="61"/>
      <c r="G2009"/>
      <c r="H2009"/>
      <c r="I2009" s="78"/>
      <c r="L2009" s="99"/>
      <c r="M2009" s="124"/>
      <c r="N2009" s="9"/>
    </row>
    <row r="2010" spans="1:14" x14ac:dyDescent="0.35">
      <c r="A2010" s="9"/>
      <c r="B2010" s="58"/>
      <c r="C2010" s="125"/>
      <c r="D2010" s="59"/>
      <c r="E2010" s="60"/>
      <c r="F2010" s="61"/>
      <c r="G2010"/>
      <c r="H2010"/>
      <c r="I2010" s="78"/>
      <c r="L2010" s="99"/>
      <c r="M2010" s="124"/>
      <c r="N2010" s="9"/>
    </row>
    <row r="2011" spans="1:14" x14ac:dyDescent="0.35">
      <c r="A2011" s="9"/>
      <c r="B2011" s="58"/>
      <c r="C2011" s="125"/>
      <c r="D2011" s="59"/>
      <c r="E2011" s="60"/>
      <c r="F2011" s="61"/>
      <c r="G2011"/>
      <c r="H2011"/>
      <c r="I2011" s="78"/>
      <c r="L2011" s="99"/>
      <c r="M2011" s="124"/>
      <c r="N2011" s="9"/>
    </row>
    <row r="2012" spans="1:14" x14ac:dyDescent="0.35">
      <c r="A2012" s="9"/>
      <c r="B2012" s="58"/>
      <c r="C2012" s="125"/>
      <c r="D2012" s="59"/>
      <c r="E2012" s="60"/>
      <c r="F2012" s="61"/>
      <c r="G2012"/>
      <c r="H2012"/>
      <c r="I2012" s="78"/>
      <c r="L2012" s="99"/>
      <c r="M2012" s="124"/>
      <c r="N2012" s="9"/>
    </row>
    <row r="2013" spans="1:14" x14ac:dyDescent="0.35">
      <c r="A2013" s="9"/>
      <c r="B2013" s="58"/>
      <c r="C2013" s="125"/>
      <c r="D2013" s="59"/>
      <c r="E2013" s="60"/>
      <c r="F2013" s="61"/>
      <c r="G2013"/>
      <c r="H2013"/>
      <c r="I2013" s="78"/>
      <c r="L2013" s="99"/>
      <c r="M2013" s="124"/>
      <c r="N2013" s="9"/>
    </row>
    <row r="2014" spans="1:14" x14ac:dyDescent="0.35">
      <c r="A2014" s="9"/>
      <c r="B2014" s="58"/>
      <c r="C2014" s="125"/>
      <c r="D2014" s="59"/>
      <c r="E2014" s="60"/>
      <c r="F2014" s="61"/>
      <c r="G2014"/>
      <c r="H2014"/>
      <c r="I2014" s="78"/>
      <c r="L2014" s="99"/>
      <c r="M2014" s="124"/>
      <c r="N2014" s="9"/>
    </row>
    <row r="2015" spans="1:14" x14ac:dyDescent="0.35">
      <c r="A2015" s="9"/>
      <c r="B2015" s="58"/>
      <c r="C2015" s="125"/>
      <c r="D2015" s="59"/>
      <c r="E2015" s="60"/>
      <c r="F2015" s="61"/>
      <c r="G2015"/>
      <c r="H2015"/>
      <c r="I2015" s="78"/>
      <c r="L2015" s="99"/>
      <c r="M2015" s="124"/>
      <c r="N2015" s="9"/>
    </row>
    <row r="2016" spans="1:14" x14ac:dyDescent="0.35">
      <c r="A2016" s="9"/>
      <c r="B2016" s="58"/>
      <c r="C2016" s="125"/>
      <c r="D2016" s="59"/>
      <c r="E2016" s="60"/>
      <c r="F2016" s="61"/>
      <c r="G2016"/>
      <c r="H2016"/>
      <c r="I2016" s="78"/>
      <c r="L2016" s="99"/>
      <c r="M2016" s="124"/>
      <c r="N2016" s="9"/>
    </row>
    <row r="2017" spans="1:14" x14ac:dyDescent="0.35">
      <c r="A2017" s="9"/>
      <c r="B2017" s="58"/>
      <c r="C2017" s="125"/>
      <c r="D2017" s="59"/>
      <c r="E2017" s="60"/>
      <c r="F2017" s="61"/>
      <c r="G2017"/>
      <c r="H2017"/>
      <c r="I2017" s="78"/>
      <c r="L2017" s="99"/>
      <c r="M2017" s="124"/>
      <c r="N2017" s="9"/>
    </row>
    <row r="2018" spans="1:14" x14ac:dyDescent="0.35">
      <c r="A2018" s="9"/>
      <c r="B2018" s="58"/>
      <c r="C2018" s="125"/>
      <c r="D2018" s="59"/>
      <c r="E2018" s="60"/>
      <c r="F2018" s="61"/>
      <c r="G2018"/>
      <c r="H2018"/>
      <c r="I2018" s="78"/>
      <c r="L2018" s="99"/>
      <c r="M2018" s="124"/>
      <c r="N2018" s="9"/>
    </row>
    <row r="2019" spans="1:14" x14ac:dyDescent="0.35">
      <c r="A2019" s="9"/>
      <c r="B2019" s="58"/>
      <c r="C2019" s="125"/>
      <c r="D2019" s="59"/>
      <c r="E2019" s="60"/>
      <c r="F2019" s="61"/>
      <c r="G2019"/>
      <c r="H2019"/>
      <c r="I2019" s="78"/>
      <c r="L2019" s="99"/>
      <c r="M2019" s="124"/>
      <c r="N2019" s="9"/>
    </row>
    <row r="2020" spans="1:14" x14ac:dyDescent="0.35">
      <c r="A2020" s="9"/>
      <c r="B2020" s="58"/>
      <c r="C2020" s="125"/>
      <c r="D2020" s="59"/>
      <c r="E2020" s="60"/>
      <c r="F2020" s="61"/>
      <c r="G2020"/>
      <c r="H2020"/>
      <c r="I2020" s="78"/>
      <c r="L2020" s="99"/>
      <c r="M2020" s="124"/>
      <c r="N2020" s="9"/>
    </row>
    <row r="2021" spans="1:14" x14ac:dyDescent="0.35">
      <c r="A2021" s="9"/>
      <c r="B2021" s="58"/>
      <c r="C2021" s="125"/>
      <c r="D2021" s="59"/>
      <c r="E2021" s="60"/>
      <c r="F2021" s="61"/>
      <c r="G2021"/>
      <c r="H2021"/>
      <c r="I2021" s="78"/>
      <c r="L2021" s="99"/>
      <c r="M2021" s="124"/>
      <c r="N2021" s="9"/>
    </row>
    <row r="2022" spans="1:14" x14ac:dyDescent="0.35">
      <c r="A2022" s="9"/>
      <c r="B2022" s="58"/>
      <c r="C2022" s="125"/>
      <c r="D2022" s="59"/>
      <c r="E2022" s="60"/>
      <c r="F2022" s="61"/>
      <c r="G2022"/>
      <c r="H2022"/>
      <c r="I2022" s="78"/>
      <c r="L2022" s="99"/>
      <c r="M2022" s="124"/>
      <c r="N2022" s="9"/>
    </row>
    <row r="2023" spans="1:14" x14ac:dyDescent="0.35">
      <c r="A2023" s="9"/>
      <c r="B2023" s="58"/>
      <c r="C2023" s="125"/>
      <c r="D2023" s="59"/>
      <c r="E2023" s="60"/>
      <c r="F2023" s="61"/>
      <c r="G2023"/>
      <c r="H2023"/>
      <c r="I2023" s="78"/>
      <c r="L2023" s="99"/>
      <c r="M2023" s="124"/>
      <c r="N2023" s="9"/>
    </row>
    <row r="2024" spans="1:14" x14ac:dyDescent="0.35">
      <c r="A2024" s="9"/>
      <c r="B2024" s="58"/>
      <c r="C2024" s="125"/>
      <c r="D2024" s="59"/>
      <c r="E2024" s="60"/>
      <c r="F2024" s="61"/>
      <c r="G2024"/>
      <c r="H2024"/>
      <c r="I2024" s="78"/>
      <c r="L2024" s="99"/>
      <c r="M2024" s="124"/>
      <c r="N2024" s="9"/>
    </row>
    <row r="2025" spans="1:14" x14ac:dyDescent="0.35">
      <c r="A2025" s="9"/>
      <c r="B2025" s="58"/>
      <c r="C2025" s="125"/>
      <c r="D2025" s="59"/>
      <c r="E2025" s="60"/>
      <c r="F2025" s="61"/>
      <c r="G2025"/>
      <c r="H2025"/>
      <c r="I2025" s="78"/>
      <c r="L2025" s="99"/>
      <c r="M2025" s="124"/>
      <c r="N2025" s="9"/>
    </row>
    <row r="2026" spans="1:14" x14ac:dyDescent="0.35">
      <c r="A2026" s="9"/>
      <c r="B2026" s="58"/>
      <c r="C2026" s="125"/>
      <c r="D2026" s="59"/>
      <c r="E2026" s="60"/>
      <c r="F2026" s="61"/>
      <c r="G2026"/>
      <c r="H2026"/>
      <c r="I2026" s="78"/>
      <c r="L2026" s="99"/>
      <c r="M2026" s="124"/>
      <c r="N2026" s="9"/>
    </row>
    <row r="2027" spans="1:14" x14ac:dyDescent="0.35">
      <c r="A2027" s="9"/>
      <c r="B2027" s="58"/>
      <c r="C2027" s="125"/>
      <c r="D2027" s="59"/>
      <c r="E2027" s="60"/>
      <c r="F2027" s="61"/>
      <c r="G2027"/>
      <c r="H2027"/>
      <c r="I2027" s="78"/>
      <c r="L2027" s="99"/>
      <c r="M2027" s="124"/>
      <c r="N2027" s="9"/>
    </row>
    <row r="2028" spans="1:14" x14ac:dyDescent="0.35">
      <c r="A2028" s="9"/>
      <c r="B2028" s="58"/>
      <c r="C2028" s="125"/>
      <c r="D2028" s="59"/>
      <c r="E2028" s="60"/>
      <c r="F2028" s="61"/>
      <c r="G2028"/>
      <c r="H2028"/>
      <c r="I2028" s="78"/>
      <c r="L2028" s="99"/>
      <c r="M2028" s="124"/>
      <c r="N2028" s="9"/>
    </row>
    <row r="2029" spans="1:14" x14ac:dyDescent="0.35">
      <c r="A2029" s="9"/>
      <c r="B2029" s="58"/>
      <c r="C2029" s="125"/>
      <c r="D2029" s="59"/>
      <c r="E2029" s="60"/>
      <c r="F2029" s="61"/>
      <c r="G2029"/>
      <c r="H2029"/>
      <c r="I2029" s="78"/>
      <c r="L2029" s="99"/>
      <c r="M2029" s="124"/>
      <c r="N2029" s="9"/>
    </row>
    <row r="2030" spans="1:14" x14ac:dyDescent="0.35">
      <c r="A2030" s="9"/>
      <c r="B2030" s="58"/>
      <c r="C2030" s="125"/>
      <c r="D2030" s="59"/>
      <c r="E2030" s="60"/>
      <c r="F2030" s="61"/>
      <c r="G2030"/>
      <c r="H2030"/>
      <c r="I2030" s="78"/>
      <c r="L2030" s="99"/>
      <c r="M2030" s="124"/>
      <c r="N2030" s="9"/>
    </row>
    <row r="2031" spans="1:14" x14ac:dyDescent="0.35">
      <c r="A2031" s="9"/>
      <c r="B2031" s="58"/>
      <c r="C2031" s="125"/>
      <c r="D2031" s="59"/>
      <c r="E2031" s="60"/>
      <c r="F2031" s="61"/>
      <c r="G2031"/>
      <c r="H2031"/>
      <c r="I2031" s="78"/>
      <c r="L2031" s="99"/>
      <c r="M2031" s="124"/>
      <c r="N2031" s="9"/>
    </row>
    <row r="2032" spans="1:14" x14ac:dyDescent="0.35">
      <c r="A2032" s="9"/>
      <c r="B2032" s="58"/>
      <c r="C2032" s="125"/>
      <c r="D2032" s="59"/>
      <c r="E2032" s="60"/>
      <c r="F2032" s="61"/>
      <c r="G2032"/>
      <c r="H2032"/>
      <c r="I2032" s="78"/>
      <c r="L2032" s="99"/>
      <c r="M2032" s="124"/>
      <c r="N2032" s="9"/>
    </row>
    <row r="2033" spans="1:14" x14ac:dyDescent="0.35">
      <c r="A2033" s="9"/>
      <c r="B2033" s="58"/>
      <c r="C2033" s="125"/>
      <c r="D2033" s="59"/>
      <c r="E2033" s="60"/>
      <c r="F2033" s="61"/>
      <c r="G2033"/>
      <c r="H2033"/>
      <c r="I2033" s="78"/>
      <c r="L2033" s="99"/>
      <c r="M2033" s="124"/>
      <c r="N2033" s="9"/>
    </row>
    <row r="2034" spans="1:14" x14ac:dyDescent="0.35">
      <c r="A2034" s="9"/>
      <c r="B2034" s="58"/>
      <c r="C2034" s="125"/>
      <c r="D2034" s="59"/>
      <c r="E2034" s="60"/>
      <c r="F2034" s="61"/>
      <c r="G2034"/>
      <c r="H2034"/>
      <c r="I2034" s="78"/>
      <c r="L2034" s="99"/>
      <c r="M2034" s="124"/>
      <c r="N2034" s="9"/>
    </row>
    <row r="2035" spans="1:14" x14ac:dyDescent="0.35">
      <c r="A2035" s="9"/>
      <c r="B2035" s="58"/>
      <c r="C2035" s="125"/>
      <c r="D2035" s="59"/>
      <c r="E2035" s="60"/>
      <c r="F2035" s="61"/>
      <c r="G2035"/>
      <c r="H2035"/>
      <c r="I2035" s="78"/>
      <c r="L2035" s="99"/>
      <c r="M2035" s="124"/>
      <c r="N2035" s="9"/>
    </row>
    <row r="2036" spans="1:14" x14ac:dyDescent="0.35">
      <c r="A2036" s="9"/>
      <c r="B2036" s="58"/>
      <c r="C2036" s="125"/>
      <c r="D2036" s="59"/>
      <c r="E2036" s="60"/>
      <c r="F2036" s="61"/>
      <c r="G2036"/>
      <c r="H2036"/>
      <c r="I2036" s="78"/>
      <c r="L2036" s="99"/>
      <c r="M2036" s="124"/>
      <c r="N2036" s="9"/>
    </row>
    <row r="2037" spans="1:14" x14ac:dyDescent="0.35">
      <c r="A2037" s="9"/>
      <c r="B2037" s="58"/>
      <c r="C2037" s="125"/>
      <c r="D2037" s="59"/>
      <c r="E2037" s="60"/>
      <c r="F2037" s="61"/>
      <c r="G2037"/>
      <c r="H2037"/>
      <c r="I2037" s="78"/>
      <c r="L2037" s="99"/>
      <c r="M2037" s="124"/>
      <c r="N2037" s="9"/>
    </row>
    <row r="2038" spans="1:14" x14ac:dyDescent="0.35">
      <c r="A2038" s="9"/>
      <c r="B2038" s="58"/>
      <c r="C2038" s="125"/>
      <c r="D2038" s="59"/>
      <c r="E2038" s="60"/>
      <c r="F2038" s="61"/>
      <c r="G2038"/>
      <c r="H2038"/>
      <c r="I2038" s="78"/>
      <c r="L2038" s="99"/>
      <c r="M2038" s="124"/>
      <c r="N2038" s="9"/>
    </row>
    <row r="2039" spans="1:14" x14ac:dyDescent="0.35">
      <c r="A2039" s="9"/>
      <c r="B2039" s="58"/>
      <c r="C2039" s="125"/>
      <c r="D2039" s="59"/>
      <c r="E2039" s="60"/>
      <c r="F2039" s="61"/>
      <c r="G2039"/>
      <c r="H2039"/>
      <c r="I2039" s="78"/>
      <c r="L2039" s="99"/>
      <c r="M2039" s="124"/>
      <c r="N2039" s="9"/>
    </row>
    <row r="2040" spans="1:14" x14ac:dyDescent="0.35">
      <c r="A2040" s="9"/>
      <c r="B2040" s="58"/>
      <c r="C2040" s="125"/>
      <c r="D2040" s="59"/>
      <c r="E2040" s="60"/>
      <c r="F2040" s="61"/>
      <c r="G2040"/>
      <c r="H2040"/>
      <c r="I2040" s="78"/>
      <c r="L2040" s="99"/>
      <c r="M2040" s="124"/>
      <c r="N2040" s="9"/>
    </row>
    <row r="2041" spans="1:14" x14ac:dyDescent="0.35">
      <c r="A2041" s="9"/>
      <c r="B2041" s="58"/>
      <c r="C2041" s="125"/>
      <c r="D2041" s="59"/>
      <c r="E2041" s="60"/>
      <c r="F2041" s="61"/>
      <c r="G2041"/>
      <c r="H2041"/>
      <c r="I2041" s="78"/>
      <c r="L2041" s="99"/>
      <c r="M2041" s="124"/>
      <c r="N2041" s="9"/>
    </row>
    <row r="2042" spans="1:14" x14ac:dyDescent="0.35">
      <c r="A2042" s="9"/>
      <c r="B2042" s="58"/>
      <c r="C2042" s="125"/>
      <c r="D2042" s="59"/>
      <c r="E2042" s="60"/>
      <c r="F2042" s="61"/>
      <c r="G2042"/>
      <c r="H2042"/>
      <c r="I2042" s="78"/>
      <c r="L2042" s="99"/>
      <c r="M2042" s="124"/>
      <c r="N2042" s="9"/>
    </row>
    <row r="2043" spans="1:14" x14ac:dyDescent="0.35">
      <c r="A2043" s="9"/>
      <c r="B2043" s="58"/>
      <c r="C2043" s="125"/>
      <c r="D2043" s="59"/>
      <c r="E2043" s="60"/>
      <c r="F2043" s="61"/>
      <c r="G2043"/>
      <c r="H2043"/>
      <c r="I2043" s="78"/>
      <c r="L2043" s="99"/>
      <c r="M2043" s="124"/>
      <c r="N2043" s="9"/>
    </row>
    <row r="2044" spans="1:14" x14ac:dyDescent="0.35">
      <c r="A2044" s="9"/>
      <c r="B2044" s="58"/>
      <c r="C2044" s="125"/>
      <c r="D2044" s="59"/>
      <c r="E2044" s="60"/>
      <c r="F2044" s="61"/>
      <c r="G2044"/>
      <c r="H2044"/>
      <c r="I2044" s="78"/>
      <c r="L2044" s="99"/>
      <c r="M2044" s="124"/>
      <c r="N2044" s="9"/>
    </row>
    <row r="2045" spans="1:14" x14ac:dyDescent="0.35">
      <c r="A2045" s="9"/>
      <c r="B2045" s="58"/>
      <c r="C2045" s="125"/>
      <c r="D2045" s="59"/>
      <c r="E2045" s="60"/>
      <c r="F2045" s="61"/>
      <c r="G2045"/>
      <c r="H2045"/>
      <c r="I2045" s="78"/>
      <c r="L2045" s="99"/>
      <c r="M2045" s="124"/>
      <c r="N2045" s="9"/>
    </row>
    <row r="2046" spans="1:14" x14ac:dyDescent="0.35">
      <c r="A2046" s="9"/>
      <c r="B2046" s="58"/>
      <c r="C2046" s="125"/>
      <c r="D2046" s="59"/>
      <c r="E2046" s="60"/>
      <c r="F2046" s="61"/>
      <c r="G2046"/>
      <c r="H2046"/>
      <c r="I2046" s="78"/>
      <c r="L2046" s="99"/>
      <c r="M2046" s="124"/>
      <c r="N2046" s="9"/>
    </row>
    <row r="2047" spans="1:14" x14ac:dyDescent="0.35">
      <c r="A2047" s="9"/>
      <c r="B2047" s="58"/>
      <c r="C2047" s="125"/>
      <c r="D2047" s="59"/>
      <c r="E2047" s="60"/>
      <c r="F2047" s="61"/>
      <c r="G2047"/>
      <c r="H2047"/>
      <c r="I2047" s="78"/>
      <c r="L2047" s="99"/>
      <c r="M2047" s="124"/>
      <c r="N2047" s="9"/>
    </row>
    <row r="2048" spans="1:14" x14ac:dyDescent="0.35">
      <c r="A2048" s="9"/>
      <c r="B2048" s="58"/>
      <c r="C2048" s="125"/>
      <c r="D2048" s="59"/>
      <c r="E2048" s="60"/>
      <c r="F2048" s="61"/>
      <c r="G2048"/>
      <c r="H2048"/>
      <c r="I2048" s="78"/>
      <c r="L2048" s="99"/>
      <c r="M2048" s="124"/>
      <c r="N2048" s="9"/>
    </row>
    <row r="2049" spans="1:14" x14ac:dyDescent="0.35">
      <c r="A2049" s="9"/>
      <c r="B2049" s="58"/>
      <c r="C2049" s="125"/>
      <c r="D2049" s="59"/>
      <c r="E2049" s="60"/>
      <c r="F2049" s="61"/>
      <c r="G2049"/>
      <c r="H2049"/>
      <c r="I2049" s="78"/>
      <c r="L2049" s="99"/>
      <c r="M2049" s="124"/>
      <c r="N2049" s="9"/>
    </row>
    <row r="2050" spans="1:14" x14ac:dyDescent="0.35">
      <c r="A2050" s="9"/>
      <c r="B2050" s="58"/>
      <c r="C2050" s="125"/>
      <c r="D2050" s="59"/>
      <c r="E2050" s="60"/>
      <c r="F2050" s="61"/>
      <c r="G2050"/>
      <c r="H2050"/>
      <c r="I2050" s="78"/>
      <c r="L2050" s="99"/>
      <c r="M2050" s="124"/>
      <c r="N2050" s="9"/>
    </row>
    <row r="2051" spans="1:14" x14ac:dyDescent="0.35">
      <c r="A2051" s="9"/>
      <c r="B2051" s="58"/>
      <c r="C2051" s="125"/>
      <c r="D2051" s="59"/>
      <c r="E2051" s="60"/>
      <c r="F2051" s="61"/>
      <c r="G2051"/>
      <c r="H2051"/>
      <c r="I2051" s="78"/>
      <c r="L2051" s="99"/>
      <c r="M2051" s="124"/>
      <c r="N2051" s="9"/>
    </row>
    <row r="2052" spans="1:14" x14ac:dyDescent="0.35">
      <c r="A2052" s="9"/>
      <c r="B2052" s="58"/>
      <c r="C2052" s="125"/>
      <c r="D2052" s="59"/>
      <c r="E2052" s="60"/>
      <c r="F2052" s="61"/>
      <c r="G2052"/>
      <c r="H2052"/>
      <c r="I2052" s="78"/>
      <c r="L2052" s="99"/>
      <c r="M2052" s="124"/>
      <c r="N2052" s="9"/>
    </row>
    <row r="2053" spans="1:14" x14ac:dyDescent="0.35">
      <c r="A2053" s="9"/>
      <c r="B2053" s="58"/>
      <c r="C2053" s="125"/>
      <c r="D2053" s="59"/>
      <c r="E2053" s="60"/>
      <c r="F2053" s="61"/>
      <c r="G2053"/>
      <c r="H2053"/>
      <c r="I2053" s="78"/>
      <c r="L2053" s="99"/>
      <c r="M2053" s="124"/>
      <c r="N2053" s="9"/>
    </row>
    <row r="2054" spans="1:14" x14ac:dyDescent="0.35">
      <c r="A2054" s="9"/>
      <c r="B2054" s="58"/>
      <c r="C2054" s="125"/>
      <c r="D2054" s="59"/>
      <c r="E2054" s="60"/>
      <c r="F2054" s="61"/>
      <c r="G2054"/>
      <c r="H2054"/>
      <c r="I2054" s="78"/>
      <c r="L2054" s="99"/>
      <c r="M2054" s="124"/>
      <c r="N2054" s="9"/>
    </row>
    <row r="2055" spans="1:14" x14ac:dyDescent="0.35">
      <c r="A2055" s="9"/>
      <c r="B2055" s="58"/>
      <c r="C2055" s="125"/>
      <c r="D2055" s="59"/>
      <c r="E2055" s="60"/>
      <c r="F2055" s="61"/>
      <c r="G2055"/>
      <c r="H2055"/>
      <c r="I2055" s="78"/>
      <c r="L2055" s="99"/>
      <c r="M2055" s="124"/>
      <c r="N2055" s="9"/>
    </row>
    <row r="2056" spans="1:14" x14ac:dyDescent="0.35">
      <c r="A2056" s="9"/>
      <c r="B2056" s="58"/>
      <c r="C2056" s="125"/>
      <c r="D2056" s="59"/>
      <c r="E2056" s="60"/>
      <c r="F2056" s="61"/>
      <c r="G2056"/>
      <c r="H2056"/>
      <c r="I2056" s="78"/>
      <c r="L2056" s="99"/>
      <c r="M2056" s="124"/>
      <c r="N2056" s="9"/>
    </row>
    <row r="2057" spans="1:14" x14ac:dyDescent="0.35">
      <c r="A2057" s="9"/>
      <c r="B2057" s="58"/>
      <c r="C2057" s="125"/>
      <c r="D2057" s="59"/>
      <c r="E2057" s="60"/>
      <c r="F2057" s="61"/>
      <c r="G2057"/>
      <c r="H2057"/>
      <c r="I2057" s="78"/>
      <c r="L2057" s="99"/>
      <c r="M2057" s="124"/>
      <c r="N2057" s="9"/>
    </row>
    <row r="2058" spans="1:14" x14ac:dyDescent="0.35">
      <c r="A2058" s="9"/>
      <c r="B2058" s="58"/>
      <c r="C2058" s="125"/>
      <c r="D2058" s="59"/>
      <c r="E2058" s="60"/>
      <c r="F2058" s="61"/>
      <c r="G2058"/>
      <c r="H2058"/>
      <c r="I2058" s="78"/>
      <c r="L2058" s="99"/>
      <c r="M2058" s="124"/>
      <c r="N2058" s="9"/>
    </row>
    <row r="2059" spans="1:14" x14ac:dyDescent="0.35">
      <c r="A2059" s="9"/>
      <c r="B2059" s="58"/>
      <c r="C2059" s="125"/>
      <c r="D2059" s="59"/>
      <c r="E2059" s="60"/>
      <c r="F2059" s="61"/>
      <c r="G2059"/>
      <c r="H2059"/>
      <c r="I2059" s="78"/>
      <c r="L2059" s="99"/>
      <c r="M2059" s="124"/>
      <c r="N2059" s="9"/>
    </row>
    <row r="2060" spans="1:14" x14ac:dyDescent="0.35">
      <c r="A2060" s="9"/>
      <c r="B2060" s="58"/>
      <c r="C2060" s="125"/>
      <c r="D2060" s="59"/>
      <c r="E2060" s="60"/>
      <c r="F2060" s="61"/>
      <c r="G2060"/>
      <c r="H2060"/>
      <c r="I2060" s="78"/>
      <c r="L2060" s="99"/>
      <c r="M2060" s="124"/>
      <c r="N2060" s="9"/>
    </row>
    <row r="2061" spans="1:14" x14ac:dyDescent="0.35">
      <c r="A2061" s="9"/>
      <c r="B2061" s="58"/>
      <c r="C2061" s="125"/>
      <c r="D2061" s="59"/>
      <c r="E2061" s="60"/>
      <c r="F2061" s="61"/>
      <c r="G2061"/>
      <c r="H2061"/>
      <c r="I2061" s="78"/>
      <c r="L2061" s="99"/>
      <c r="M2061" s="124"/>
      <c r="N2061" s="9"/>
    </row>
    <row r="2062" spans="1:14" x14ac:dyDescent="0.35">
      <c r="A2062" s="9"/>
      <c r="B2062" s="58"/>
      <c r="C2062" s="125"/>
      <c r="D2062" s="59"/>
      <c r="E2062" s="60"/>
      <c r="F2062" s="61"/>
      <c r="G2062"/>
      <c r="H2062"/>
      <c r="I2062" s="78"/>
      <c r="L2062" s="99"/>
      <c r="M2062" s="124"/>
      <c r="N2062" s="9"/>
    </row>
    <row r="2063" spans="1:14" x14ac:dyDescent="0.35">
      <c r="A2063" s="9"/>
      <c r="B2063" s="58"/>
      <c r="C2063" s="125"/>
      <c r="D2063" s="59"/>
      <c r="E2063" s="60"/>
      <c r="F2063" s="61"/>
      <c r="G2063"/>
      <c r="H2063"/>
      <c r="I2063" s="78"/>
      <c r="L2063" s="99"/>
      <c r="M2063" s="124"/>
      <c r="N2063" s="9"/>
    </row>
    <row r="2064" spans="1:14" x14ac:dyDescent="0.35">
      <c r="A2064" s="9"/>
      <c r="B2064" s="58"/>
      <c r="C2064" s="125"/>
      <c r="D2064" s="59"/>
      <c r="E2064" s="60"/>
      <c r="F2064" s="61"/>
      <c r="G2064"/>
      <c r="H2064"/>
      <c r="I2064" s="78"/>
      <c r="L2064" s="99"/>
      <c r="M2064" s="124"/>
      <c r="N2064" s="9"/>
    </row>
    <row r="2065" spans="1:14" x14ac:dyDescent="0.35">
      <c r="A2065" s="9"/>
      <c r="B2065" s="58"/>
      <c r="C2065" s="125"/>
      <c r="D2065" s="59"/>
      <c r="E2065" s="60"/>
      <c r="F2065" s="61"/>
      <c r="G2065"/>
      <c r="H2065"/>
      <c r="I2065" s="78"/>
      <c r="L2065" s="99"/>
      <c r="M2065" s="124"/>
      <c r="N2065" s="9"/>
    </row>
    <row r="2066" spans="1:14" x14ac:dyDescent="0.35">
      <c r="A2066" s="9"/>
      <c r="B2066" s="58"/>
      <c r="C2066" s="125"/>
      <c r="D2066" s="59"/>
      <c r="E2066" s="60"/>
      <c r="F2066" s="61"/>
      <c r="G2066"/>
      <c r="H2066"/>
      <c r="I2066" s="78"/>
      <c r="L2066" s="99"/>
      <c r="M2066" s="124"/>
      <c r="N2066" s="9"/>
    </row>
    <row r="2067" spans="1:14" x14ac:dyDescent="0.35">
      <c r="A2067" s="9"/>
      <c r="B2067" s="58"/>
      <c r="C2067" s="125"/>
      <c r="D2067" s="59"/>
      <c r="E2067" s="60"/>
      <c r="F2067" s="61"/>
      <c r="G2067"/>
      <c r="H2067"/>
      <c r="I2067" s="78"/>
      <c r="L2067" s="99"/>
      <c r="M2067" s="124"/>
      <c r="N2067" s="9"/>
    </row>
    <row r="2068" spans="1:14" x14ac:dyDescent="0.35">
      <c r="A2068" s="9"/>
      <c r="B2068" s="58"/>
      <c r="C2068" s="125"/>
      <c r="D2068" s="59"/>
      <c r="E2068" s="60"/>
      <c r="F2068" s="61"/>
      <c r="G2068"/>
      <c r="H2068"/>
      <c r="I2068" s="78"/>
      <c r="L2068" s="99"/>
      <c r="M2068" s="124"/>
      <c r="N2068" s="9"/>
    </row>
    <row r="2069" spans="1:14" x14ac:dyDescent="0.35">
      <c r="A2069" s="9"/>
      <c r="B2069" s="58"/>
      <c r="C2069" s="125"/>
      <c r="D2069" s="59"/>
      <c r="E2069" s="60"/>
      <c r="F2069" s="61"/>
      <c r="G2069"/>
      <c r="H2069"/>
      <c r="I2069" s="78"/>
      <c r="L2069" s="99"/>
      <c r="M2069" s="124"/>
      <c r="N2069" s="9"/>
    </row>
    <row r="2070" spans="1:14" x14ac:dyDescent="0.35">
      <c r="A2070" s="9"/>
      <c r="B2070" s="58"/>
      <c r="C2070" s="125"/>
      <c r="D2070" s="59"/>
      <c r="E2070" s="60"/>
      <c r="F2070" s="61"/>
      <c r="G2070"/>
      <c r="H2070"/>
      <c r="I2070" s="78"/>
      <c r="L2070" s="99"/>
      <c r="M2070" s="124"/>
      <c r="N2070" s="9"/>
    </row>
    <row r="2071" spans="1:14" x14ac:dyDescent="0.35">
      <c r="A2071" s="9"/>
      <c r="B2071" s="58"/>
      <c r="C2071" s="125"/>
      <c r="D2071" s="59"/>
      <c r="E2071" s="60"/>
      <c r="F2071" s="61"/>
      <c r="G2071"/>
      <c r="H2071"/>
      <c r="I2071" s="78"/>
      <c r="L2071" s="99"/>
      <c r="M2071" s="124"/>
      <c r="N2071" s="9"/>
    </row>
    <row r="2072" spans="1:14" x14ac:dyDescent="0.35">
      <c r="A2072" s="9"/>
      <c r="B2072" s="58"/>
      <c r="C2072" s="125"/>
      <c r="D2072" s="59"/>
      <c r="E2072" s="60"/>
      <c r="F2072" s="61"/>
      <c r="G2072"/>
      <c r="H2072"/>
      <c r="I2072" s="78"/>
      <c r="L2072" s="99"/>
      <c r="M2072" s="124"/>
      <c r="N2072" s="9"/>
    </row>
    <row r="2073" spans="1:14" x14ac:dyDescent="0.35">
      <c r="A2073" s="9"/>
      <c r="B2073" s="58"/>
      <c r="C2073" s="125"/>
      <c r="D2073" s="59"/>
      <c r="E2073" s="60"/>
      <c r="F2073" s="61"/>
      <c r="G2073"/>
      <c r="H2073"/>
      <c r="I2073" s="78"/>
      <c r="L2073" s="99"/>
      <c r="M2073" s="124"/>
      <c r="N2073" s="9"/>
    </row>
    <row r="2074" spans="1:14" x14ac:dyDescent="0.35">
      <c r="A2074" s="9"/>
      <c r="B2074" s="58"/>
      <c r="C2074" s="125"/>
      <c r="D2074" s="59"/>
      <c r="E2074" s="60"/>
      <c r="F2074" s="61"/>
      <c r="G2074"/>
      <c r="H2074"/>
      <c r="I2074" s="78"/>
      <c r="L2074" s="99"/>
      <c r="M2074" s="124"/>
      <c r="N2074" s="9"/>
    </row>
    <row r="2075" spans="1:14" x14ac:dyDescent="0.35">
      <c r="A2075" s="9"/>
      <c r="B2075" s="58"/>
      <c r="C2075" s="125"/>
      <c r="D2075" s="59"/>
      <c r="E2075" s="60"/>
      <c r="F2075" s="61"/>
      <c r="G2075"/>
      <c r="H2075"/>
      <c r="I2075" s="78"/>
      <c r="L2075" s="99"/>
      <c r="M2075" s="124"/>
      <c r="N2075" s="9"/>
    </row>
    <row r="2076" spans="1:14" x14ac:dyDescent="0.35">
      <c r="A2076" s="9"/>
      <c r="B2076" s="58"/>
      <c r="C2076" s="125"/>
      <c r="D2076" s="59"/>
      <c r="E2076" s="60"/>
      <c r="F2076" s="61"/>
      <c r="G2076"/>
      <c r="H2076"/>
      <c r="I2076" s="78"/>
      <c r="L2076" s="99"/>
      <c r="M2076" s="124"/>
      <c r="N2076" s="9"/>
    </row>
    <row r="2077" spans="1:14" x14ac:dyDescent="0.35">
      <c r="A2077" s="9"/>
      <c r="B2077" s="58"/>
      <c r="C2077" s="125"/>
      <c r="D2077" s="59"/>
      <c r="E2077" s="60"/>
      <c r="F2077" s="61"/>
      <c r="G2077"/>
      <c r="H2077"/>
      <c r="I2077" s="78"/>
      <c r="L2077" s="99"/>
      <c r="M2077" s="124"/>
      <c r="N2077" s="9"/>
    </row>
    <row r="2078" spans="1:14" x14ac:dyDescent="0.35">
      <c r="A2078" s="9"/>
      <c r="B2078" s="58"/>
      <c r="C2078" s="125"/>
      <c r="D2078" s="59"/>
      <c r="E2078" s="60"/>
      <c r="F2078" s="61"/>
      <c r="G2078"/>
      <c r="H2078"/>
      <c r="I2078" s="78"/>
      <c r="L2078" s="99"/>
      <c r="M2078" s="124"/>
      <c r="N2078" s="9"/>
    </row>
    <row r="2079" spans="1:14" x14ac:dyDescent="0.35">
      <c r="A2079" s="9"/>
      <c r="B2079" s="58"/>
      <c r="C2079" s="125"/>
      <c r="D2079" s="59"/>
      <c r="E2079" s="60"/>
      <c r="F2079" s="61"/>
      <c r="G2079"/>
      <c r="H2079"/>
      <c r="I2079" s="78"/>
      <c r="L2079" s="99"/>
      <c r="M2079" s="124"/>
      <c r="N2079" s="9"/>
    </row>
    <row r="2080" spans="1:14" x14ac:dyDescent="0.35">
      <c r="A2080" s="9"/>
      <c r="B2080" s="58"/>
      <c r="C2080" s="125"/>
      <c r="D2080" s="59"/>
      <c r="E2080" s="60"/>
      <c r="F2080" s="61"/>
      <c r="G2080"/>
      <c r="H2080"/>
      <c r="I2080" s="78"/>
      <c r="L2080" s="99"/>
      <c r="M2080" s="124"/>
      <c r="N2080" s="9"/>
    </row>
    <row r="2081" spans="1:14" x14ac:dyDescent="0.35">
      <c r="A2081" s="9"/>
      <c r="B2081" s="58"/>
      <c r="C2081" s="125"/>
      <c r="D2081" s="59"/>
      <c r="E2081" s="60"/>
      <c r="F2081" s="61"/>
      <c r="G2081"/>
      <c r="H2081"/>
      <c r="I2081" s="78"/>
      <c r="L2081" s="99"/>
      <c r="M2081" s="124"/>
      <c r="N2081" s="9"/>
    </row>
    <row r="2082" spans="1:14" x14ac:dyDescent="0.35">
      <c r="A2082" s="9"/>
      <c r="B2082" s="58"/>
      <c r="C2082" s="125"/>
      <c r="D2082" s="59"/>
      <c r="E2082" s="60"/>
      <c r="F2082" s="61"/>
      <c r="G2082"/>
      <c r="H2082"/>
      <c r="I2082" s="78"/>
      <c r="L2082" s="99"/>
      <c r="M2082" s="124"/>
      <c r="N2082" s="9"/>
    </row>
    <row r="2083" spans="1:14" x14ac:dyDescent="0.35">
      <c r="A2083" s="9"/>
      <c r="B2083" s="58"/>
      <c r="C2083" s="125"/>
      <c r="D2083" s="59"/>
      <c r="E2083" s="60"/>
      <c r="F2083" s="61"/>
      <c r="G2083"/>
      <c r="H2083"/>
      <c r="I2083" s="78"/>
      <c r="L2083" s="99"/>
      <c r="M2083" s="124"/>
      <c r="N2083" s="9"/>
    </row>
    <row r="2084" spans="1:14" x14ac:dyDescent="0.35">
      <c r="A2084" s="9"/>
      <c r="B2084" s="58"/>
      <c r="C2084" s="125"/>
      <c r="D2084" s="59"/>
      <c r="E2084" s="60"/>
      <c r="F2084" s="61"/>
      <c r="G2084"/>
      <c r="H2084"/>
      <c r="I2084" s="78"/>
      <c r="L2084" s="99"/>
      <c r="M2084" s="124"/>
      <c r="N2084" s="9"/>
    </row>
    <row r="2085" spans="1:14" x14ac:dyDescent="0.35">
      <c r="A2085" s="9"/>
      <c r="B2085" s="58"/>
      <c r="C2085" s="125"/>
      <c r="D2085" s="59"/>
      <c r="E2085" s="60"/>
      <c r="F2085" s="61"/>
      <c r="G2085"/>
      <c r="H2085"/>
      <c r="I2085" s="71"/>
      <c r="L2085" s="99"/>
      <c r="M2085" s="124"/>
      <c r="N2085" s="9"/>
    </row>
    <row r="2086" spans="1:14" x14ac:dyDescent="0.35">
      <c r="A2086" s="9"/>
      <c r="B2086" s="58"/>
      <c r="C2086" s="125"/>
      <c r="D2086" s="59"/>
      <c r="E2086" s="60"/>
      <c r="F2086" s="61"/>
      <c r="G2086"/>
      <c r="H2086"/>
      <c r="I2086" s="78"/>
      <c r="L2086" s="99"/>
      <c r="M2086" s="124"/>
      <c r="N2086" s="9"/>
    </row>
    <row r="2087" spans="1:14" x14ac:dyDescent="0.35">
      <c r="A2087" s="9"/>
      <c r="B2087" s="58"/>
      <c r="C2087" s="125"/>
      <c r="D2087" s="59"/>
      <c r="E2087" s="60"/>
      <c r="F2087" s="61"/>
      <c r="G2087"/>
      <c r="H2087"/>
      <c r="I2087" s="78"/>
      <c r="L2087" s="99"/>
      <c r="M2087" s="124"/>
      <c r="N2087" s="9"/>
    </row>
    <row r="2088" spans="1:14" x14ac:dyDescent="0.35">
      <c r="A2088" s="9"/>
      <c r="B2088" s="58"/>
      <c r="C2088" s="125"/>
      <c r="D2088" s="59"/>
      <c r="E2088" s="60"/>
      <c r="F2088" s="61"/>
      <c r="G2088"/>
      <c r="H2088"/>
      <c r="I2088" s="78"/>
      <c r="L2088" s="99"/>
      <c r="M2088" s="124"/>
      <c r="N2088" s="9"/>
    </row>
    <row r="2089" spans="1:14" x14ac:dyDescent="0.35">
      <c r="A2089" s="9"/>
      <c r="B2089" s="58"/>
      <c r="C2089" s="125"/>
      <c r="D2089" s="59"/>
      <c r="E2089" s="60"/>
      <c r="F2089" s="61"/>
      <c r="G2089"/>
      <c r="H2089"/>
      <c r="I2089" s="78"/>
      <c r="L2089" s="99"/>
      <c r="M2089" s="124"/>
      <c r="N2089" s="9"/>
    </row>
    <row r="2090" spans="1:14" x14ac:dyDescent="0.35">
      <c r="A2090" s="9"/>
      <c r="B2090" s="58"/>
      <c r="C2090" s="125"/>
      <c r="D2090" s="59"/>
      <c r="E2090" s="60"/>
      <c r="F2090" s="61"/>
      <c r="G2090"/>
      <c r="H2090"/>
      <c r="I2090" s="78"/>
      <c r="L2090" s="99"/>
      <c r="M2090" s="124"/>
      <c r="N2090" s="9"/>
    </row>
    <row r="2091" spans="1:14" x14ac:dyDescent="0.35">
      <c r="A2091" s="9"/>
      <c r="B2091" s="58"/>
      <c r="C2091" s="125"/>
      <c r="D2091" s="59"/>
      <c r="E2091" s="60"/>
      <c r="F2091" s="61"/>
      <c r="G2091"/>
      <c r="H2091"/>
      <c r="I2091" s="78"/>
      <c r="L2091" s="99"/>
      <c r="M2091" s="124"/>
      <c r="N2091" s="9"/>
    </row>
    <row r="2092" spans="1:14" x14ac:dyDescent="0.35">
      <c r="A2092" s="9"/>
      <c r="B2092" s="58"/>
      <c r="C2092" s="125"/>
      <c r="D2092" s="59"/>
      <c r="E2092" s="60"/>
      <c r="F2092" s="61"/>
      <c r="G2092"/>
      <c r="H2092"/>
      <c r="I2092" s="78"/>
      <c r="L2092" s="99"/>
      <c r="M2092" s="124"/>
      <c r="N2092" s="9"/>
    </row>
    <row r="2093" spans="1:14" x14ac:dyDescent="0.35">
      <c r="A2093" s="9"/>
      <c r="B2093" s="58"/>
      <c r="C2093" s="125"/>
      <c r="D2093" s="59"/>
      <c r="E2093" s="60"/>
      <c r="F2093" s="61"/>
      <c r="G2093"/>
      <c r="H2093"/>
      <c r="I2093" s="78"/>
      <c r="L2093" s="99"/>
      <c r="M2093" s="124"/>
      <c r="N2093" s="9"/>
    </row>
    <row r="2094" spans="1:14" x14ac:dyDescent="0.35">
      <c r="A2094" s="9"/>
      <c r="B2094" s="58"/>
      <c r="C2094" s="125"/>
      <c r="D2094" s="59"/>
      <c r="E2094" s="60"/>
      <c r="F2094" s="61"/>
      <c r="G2094"/>
      <c r="H2094"/>
      <c r="I2094" s="78"/>
      <c r="L2094" s="99"/>
      <c r="M2094" s="124"/>
      <c r="N2094" s="9"/>
    </row>
    <row r="2095" spans="1:14" x14ac:dyDescent="0.35">
      <c r="A2095" s="9"/>
      <c r="B2095" s="58"/>
      <c r="C2095" s="125"/>
      <c r="D2095" s="59"/>
      <c r="E2095" s="60"/>
      <c r="F2095" s="61"/>
      <c r="G2095"/>
      <c r="H2095"/>
      <c r="I2095" s="78"/>
      <c r="L2095" s="99"/>
      <c r="M2095" s="124"/>
      <c r="N2095" s="9"/>
    </row>
    <row r="2096" spans="1:14" x14ac:dyDescent="0.35">
      <c r="A2096" s="9"/>
      <c r="B2096" s="58"/>
      <c r="C2096" s="125"/>
      <c r="D2096" s="59"/>
      <c r="E2096" s="60"/>
      <c r="F2096" s="61"/>
      <c r="G2096"/>
      <c r="H2096"/>
      <c r="I2096" s="78"/>
      <c r="L2096" s="99"/>
      <c r="M2096" s="124"/>
      <c r="N2096" s="9"/>
    </row>
    <row r="2097" spans="1:14" x14ac:dyDescent="0.35">
      <c r="A2097" s="9"/>
      <c r="B2097" s="58"/>
      <c r="C2097" s="125"/>
      <c r="D2097" s="59"/>
      <c r="E2097" s="60"/>
      <c r="F2097" s="61"/>
      <c r="G2097"/>
      <c r="H2097"/>
      <c r="I2097" s="78"/>
      <c r="L2097" s="99"/>
      <c r="M2097" s="124"/>
      <c r="N2097" s="9"/>
    </row>
    <row r="2098" spans="1:14" x14ac:dyDescent="0.35">
      <c r="A2098" s="9"/>
      <c r="B2098" s="58"/>
      <c r="C2098" s="125"/>
      <c r="D2098" s="59"/>
      <c r="E2098" s="60"/>
      <c r="F2098" s="61"/>
      <c r="G2098"/>
      <c r="H2098"/>
      <c r="I2098" s="78"/>
      <c r="L2098" s="99"/>
      <c r="M2098" s="124"/>
      <c r="N2098" s="9"/>
    </row>
    <row r="2099" spans="1:14" x14ac:dyDescent="0.35">
      <c r="A2099" s="9"/>
      <c r="B2099" s="58"/>
      <c r="C2099" s="125"/>
      <c r="D2099" s="59"/>
      <c r="E2099" s="60"/>
      <c r="F2099" s="61"/>
      <c r="G2099"/>
      <c r="H2099"/>
      <c r="I2099" s="78"/>
      <c r="L2099" s="99"/>
      <c r="M2099" s="124"/>
      <c r="N2099" s="9"/>
    </row>
    <row r="2100" spans="1:14" x14ac:dyDescent="0.35">
      <c r="A2100" s="9"/>
      <c r="B2100" s="58"/>
      <c r="C2100" s="125"/>
      <c r="D2100" s="59"/>
      <c r="E2100" s="60"/>
      <c r="F2100" s="61"/>
      <c r="G2100"/>
      <c r="H2100"/>
      <c r="I2100" s="78"/>
      <c r="L2100" s="99"/>
      <c r="M2100" s="124"/>
      <c r="N2100" s="9"/>
    </row>
    <row r="2101" spans="1:14" x14ac:dyDescent="0.35">
      <c r="A2101" s="9"/>
      <c r="B2101" s="58"/>
      <c r="C2101" s="125"/>
      <c r="D2101" s="59"/>
      <c r="E2101" s="60"/>
      <c r="F2101" s="61"/>
      <c r="G2101"/>
      <c r="H2101"/>
      <c r="I2101" s="78"/>
      <c r="L2101" s="99"/>
      <c r="M2101" s="124"/>
      <c r="N2101" s="9"/>
    </row>
    <row r="2102" spans="1:14" x14ac:dyDescent="0.35">
      <c r="A2102" s="9"/>
      <c r="B2102" s="58"/>
      <c r="C2102" s="125"/>
      <c r="D2102" s="59"/>
      <c r="E2102" s="60"/>
      <c r="F2102" s="61"/>
      <c r="G2102"/>
      <c r="H2102"/>
      <c r="I2102" s="78"/>
      <c r="L2102" s="99"/>
      <c r="M2102" s="124"/>
      <c r="N2102" s="9"/>
    </row>
    <row r="2103" spans="1:14" x14ac:dyDescent="0.35">
      <c r="A2103" s="9"/>
      <c r="B2103" s="58"/>
      <c r="C2103" s="125"/>
      <c r="D2103" s="59"/>
      <c r="E2103" s="60"/>
      <c r="F2103" s="61"/>
      <c r="G2103"/>
      <c r="H2103"/>
      <c r="I2103" s="78"/>
      <c r="L2103" s="99"/>
      <c r="M2103" s="124"/>
      <c r="N2103" s="9"/>
    </row>
    <row r="2104" spans="1:14" x14ac:dyDescent="0.35">
      <c r="A2104" s="9"/>
      <c r="B2104" s="58"/>
      <c r="C2104" s="125"/>
      <c r="D2104" s="59"/>
      <c r="E2104" s="60"/>
      <c r="F2104" s="61"/>
      <c r="G2104"/>
      <c r="H2104"/>
      <c r="I2104" s="78"/>
      <c r="L2104" s="99"/>
      <c r="M2104" s="124"/>
      <c r="N2104" s="9"/>
    </row>
    <row r="2105" spans="1:14" x14ac:dyDescent="0.35">
      <c r="A2105" s="9"/>
      <c r="B2105" s="58"/>
      <c r="C2105" s="125"/>
      <c r="D2105" s="59"/>
      <c r="E2105" s="60"/>
      <c r="F2105" s="61"/>
      <c r="G2105"/>
      <c r="H2105"/>
      <c r="I2105" s="78"/>
      <c r="L2105" s="99"/>
      <c r="M2105" s="124"/>
      <c r="N2105" s="9"/>
    </row>
    <row r="2106" spans="1:14" x14ac:dyDescent="0.35">
      <c r="A2106" s="9"/>
      <c r="B2106" s="58"/>
      <c r="C2106" s="125"/>
      <c r="D2106" s="59"/>
      <c r="E2106" s="60"/>
      <c r="F2106" s="61"/>
      <c r="G2106"/>
      <c r="H2106"/>
      <c r="I2106" s="78"/>
      <c r="L2106" s="99"/>
      <c r="M2106" s="124"/>
      <c r="N2106" s="9"/>
    </row>
    <row r="2107" spans="1:14" x14ac:dyDescent="0.35">
      <c r="A2107" s="9"/>
      <c r="B2107" s="58"/>
      <c r="C2107" s="125"/>
      <c r="D2107" s="59"/>
      <c r="E2107" s="60"/>
      <c r="F2107" s="61"/>
      <c r="G2107"/>
      <c r="H2107"/>
      <c r="I2107" s="78"/>
      <c r="L2107" s="99"/>
      <c r="M2107" s="124"/>
      <c r="N2107" s="9"/>
    </row>
    <row r="2108" spans="1:14" x14ac:dyDescent="0.35">
      <c r="A2108" s="9"/>
      <c r="B2108" s="58"/>
      <c r="C2108" s="125"/>
      <c r="D2108" s="59"/>
      <c r="E2108" s="60"/>
      <c r="F2108" s="61"/>
      <c r="G2108"/>
      <c r="H2108"/>
      <c r="I2108" s="78"/>
      <c r="L2108" s="99"/>
      <c r="M2108" s="124"/>
      <c r="N2108" s="9"/>
    </row>
    <row r="2109" spans="1:14" x14ac:dyDescent="0.35">
      <c r="A2109" s="9"/>
      <c r="B2109" s="58"/>
      <c r="C2109" s="125"/>
      <c r="D2109" s="59"/>
      <c r="E2109" s="60"/>
      <c r="F2109" s="61"/>
      <c r="G2109"/>
      <c r="H2109"/>
      <c r="I2109" s="78"/>
      <c r="L2109" s="99"/>
      <c r="M2109" s="124"/>
      <c r="N2109" s="9"/>
    </row>
    <row r="2110" spans="1:14" x14ac:dyDescent="0.35">
      <c r="A2110" s="9"/>
      <c r="B2110" s="58"/>
      <c r="C2110" s="125"/>
      <c r="D2110" s="59"/>
      <c r="E2110" s="60"/>
      <c r="F2110" s="61"/>
      <c r="G2110"/>
      <c r="H2110"/>
      <c r="I2110" s="78"/>
      <c r="L2110" s="99"/>
      <c r="M2110" s="124"/>
      <c r="N2110" s="9"/>
    </row>
    <row r="2111" spans="1:14" x14ac:dyDescent="0.35">
      <c r="A2111" s="9"/>
      <c r="B2111" s="58"/>
      <c r="C2111" s="125"/>
      <c r="D2111" s="59"/>
      <c r="E2111" s="60"/>
      <c r="F2111" s="61"/>
      <c r="G2111"/>
      <c r="H2111"/>
      <c r="I2111" s="78"/>
      <c r="L2111" s="99"/>
      <c r="M2111" s="124"/>
      <c r="N2111" s="9"/>
    </row>
    <row r="2112" spans="1:14" x14ac:dyDescent="0.35">
      <c r="A2112" s="9"/>
      <c r="B2112" s="58"/>
      <c r="C2112" s="125"/>
      <c r="D2112" s="59"/>
      <c r="E2112" s="60"/>
      <c r="F2112" s="61"/>
      <c r="G2112"/>
      <c r="H2112"/>
      <c r="I2112" s="78"/>
      <c r="L2112" s="99"/>
      <c r="M2112" s="124"/>
      <c r="N2112" s="9"/>
    </row>
    <row r="2113" spans="1:14" x14ac:dyDescent="0.35">
      <c r="A2113" s="9"/>
      <c r="B2113" s="58"/>
      <c r="C2113" s="125"/>
      <c r="D2113" s="59"/>
      <c r="E2113" s="60"/>
      <c r="F2113" s="61"/>
      <c r="G2113"/>
      <c r="H2113"/>
      <c r="I2113" s="78"/>
      <c r="L2113" s="99"/>
      <c r="M2113" s="124"/>
      <c r="N2113" s="9"/>
    </row>
    <row r="2114" spans="1:14" x14ac:dyDescent="0.35">
      <c r="A2114" s="9"/>
      <c r="B2114" s="58"/>
      <c r="C2114" s="125"/>
      <c r="D2114" s="59"/>
      <c r="E2114" s="60"/>
      <c r="F2114" s="61"/>
      <c r="G2114"/>
      <c r="H2114"/>
      <c r="I2114" s="78"/>
      <c r="L2114" s="99"/>
      <c r="M2114" s="124"/>
      <c r="N2114" s="9"/>
    </row>
    <row r="2115" spans="1:14" x14ac:dyDescent="0.35">
      <c r="A2115" s="9"/>
      <c r="B2115" s="58"/>
      <c r="C2115" s="125"/>
      <c r="D2115" s="59"/>
      <c r="E2115" s="60"/>
      <c r="F2115" s="61"/>
      <c r="G2115"/>
      <c r="H2115"/>
      <c r="I2115" s="78"/>
      <c r="L2115" s="99"/>
      <c r="M2115" s="124"/>
      <c r="N2115" s="9"/>
    </row>
    <row r="2116" spans="1:14" x14ac:dyDescent="0.35">
      <c r="A2116" s="9"/>
      <c r="B2116" s="58"/>
      <c r="C2116" s="125"/>
      <c r="D2116" s="59"/>
      <c r="E2116" s="60"/>
      <c r="F2116" s="61"/>
      <c r="G2116"/>
      <c r="H2116"/>
      <c r="I2116" s="78"/>
      <c r="L2116" s="99"/>
      <c r="M2116" s="124"/>
      <c r="N2116" s="9"/>
    </row>
    <row r="2117" spans="1:14" x14ac:dyDescent="0.35">
      <c r="A2117" s="9"/>
      <c r="B2117" s="58"/>
      <c r="C2117" s="125"/>
      <c r="D2117" s="59"/>
      <c r="E2117" s="60"/>
      <c r="F2117" s="61"/>
      <c r="G2117"/>
      <c r="H2117"/>
      <c r="I2117" s="78"/>
      <c r="L2117" s="99"/>
      <c r="M2117" s="124"/>
      <c r="N2117" s="9"/>
    </row>
    <row r="2118" spans="1:14" x14ac:dyDescent="0.35">
      <c r="A2118" s="9"/>
      <c r="B2118" s="58"/>
      <c r="C2118" s="125"/>
      <c r="D2118" s="59"/>
      <c r="E2118" s="60"/>
      <c r="F2118" s="61"/>
      <c r="G2118"/>
      <c r="H2118"/>
      <c r="I2118" s="78"/>
      <c r="L2118" s="99"/>
      <c r="M2118" s="124"/>
      <c r="N2118" s="9"/>
    </row>
    <row r="2119" spans="1:14" x14ac:dyDescent="0.35">
      <c r="A2119" s="9"/>
      <c r="B2119" s="58"/>
      <c r="C2119" s="125"/>
      <c r="D2119" s="59"/>
      <c r="E2119" s="60"/>
      <c r="F2119" s="61"/>
      <c r="G2119"/>
      <c r="H2119"/>
      <c r="I2119" s="78"/>
      <c r="L2119" s="99"/>
      <c r="M2119" s="124"/>
      <c r="N2119" s="9"/>
    </row>
    <row r="2120" spans="1:14" x14ac:dyDescent="0.35">
      <c r="A2120" s="9"/>
      <c r="B2120" s="58"/>
      <c r="C2120" s="125"/>
      <c r="D2120" s="59"/>
      <c r="E2120" s="60"/>
      <c r="F2120" s="61"/>
      <c r="G2120"/>
      <c r="H2120"/>
      <c r="I2120" s="78"/>
      <c r="L2120" s="99"/>
      <c r="M2120" s="124"/>
      <c r="N2120" s="9"/>
    </row>
    <row r="2121" spans="1:14" x14ac:dyDescent="0.35">
      <c r="A2121" s="9"/>
      <c r="B2121" s="58"/>
      <c r="C2121" s="125"/>
      <c r="D2121" s="59"/>
      <c r="E2121" s="60"/>
      <c r="F2121" s="61"/>
      <c r="G2121"/>
      <c r="H2121"/>
      <c r="I2121" s="78"/>
      <c r="L2121" s="99"/>
      <c r="M2121" s="124"/>
      <c r="N2121" s="9"/>
    </row>
    <row r="2122" spans="1:14" x14ac:dyDescent="0.35">
      <c r="A2122" s="9"/>
      <c r="B2122" s="58"/>
      <c r="C2122" s="125"/>
      <c r="D2122" s="59"/>
      <c r="E2122" s="60"/>
      <c r="F2122" s="61"/>
      <c r="G2122"/>
      <c r="H2122"/>
      <c r="I2122" s="78"/>
      <c r="L2122" s="99"/>
      <c r="M2122" s="124"/>
      <c r="N2122" s="9"/>
    </row>
    <row r="2123" spans="1:14" x14ac:dyDescent="0.35">
      <c r="A2123" s="9"/>
      <c r="B2123" s="58"/>
      <c r="C2123" s="125"/>
      <c r="D2123" s="59"/>
      <c r="E2123" s="60"/>
      <c r="F2123" s="61"/>
      <c r="G2123"/>
      <c r="H2123"/>
      <c r="I2123" s="78"/>
      <c r="L2123" s="99"/>
      <c r="M2123" s="124"/>
      <c r="N2123" s="9"/>
    </row>
    <row r="2124" spans="1:14" x14ac:dyDescent="0.35">
      <c r="A2124" s="9"/>
      <c r="B2124" s="58"/>
      <c r="C2124" s="125"/>
      <c r="D2124" s="59"/>
      <c r="E2124" s="60"/>
      <c r="F2124" s="61"/>
      <c r="G2124"/>
      <c r="H2124"/>
      <c r="I2124" s="78"/>
      <c r="L2124" s="99"/>
      <c r="M2124" s="124"/>
      <c r="N2124" s="9"/>
    </row>
    <row r="2125" spans="1:14" x14ac:dyDescent="0.35">
      <c r="A2125" s="9"/>
      <c r="B2125" s="58"/>
      <c r="C2125" s="125"/>
      <c r="D2125" s="59"/>
      <c r="E2125" s="60"/>
      <c r="F2125" s="61"/>
      <c r="G2125"/>
      <c r="H2125"/>
      <c r="I2125" s="78"/>
      <c r="L2125" s="99"/>
      <c r="M2125" s="124"/>
      <c r="N2125" s="9"/>
    </row>
    <row r="2126" spans="1:14" x14ac:dyDescent="0.35">
      <c r="A2126" s="9"/>
      <c r="B2126" s="58"/>
      <c r="C2126" s="125"/>
      <c r="D2126" s="59"/>
      <c r="E2126" s="60"/>
      <c r="F2126" s="61"/>
      <c r="G2126"/>
      <c r="H2126"/>
      <c r="I2126" s="78"/>
      <c r="L2126" s="99"/>
      <c r="M2126" s="124"/>
      <c r="N2126" s="9"/>
    </row>
    <row r="2127" spans="1:14" x14ac:dyDescent="0.35">
      <c r="A2127" s="9"/>
      <c r="B2127" s="58"/>
      <c r="C2127" s="125"/>
      <c r="D2127" s="59"/>
      <c r="E2127" s="60"/>
      <c r="F2127" s="61"/>
      <c r="G2127"/>
      <c r="H2127"/>
      <c r="I2127" s="78"/>
      <c r="L2127" s="99"/>
      <c r="M2127" s="124"/>
      <c r="N2127" s="9"/>
    </row>
    <row r="2128" spans="1:14" x14ac:dyDescent="0.35">
      <c r="A2128" s="9"/>
      <c r="B2128" s="58"/>
      <c r="C2128" s="125"/>
      <c r="D2128" s="59"/>
      <c r="E2128" s="60"/>
      <c r="F2128" s="61"/>
      <c r="G2128"/>
      <c r="H2128"/>
      <c r="I2128" s="78"/>
      <c r="L2128" s="99"/>
      <c r="M2128" s="124"/>
      <c r="N2128" s="9"/>
    </row>
    <row r="2129" spans="1:14" x14ac:dyDescent="0.35">
      <c r="A2129" s="9"/>
      <c r="B2129" s="58"/>
      <c r="C2129" s="125"/>
      <c r="D2129" s="59"/>
      <c r="E2129" s="60"/>
      <c r="F2129" s="61"/>
      <c r="G2129"/>
      <c r="H2129"/>
      <c r="I2129" s="78"/>
      <c r="L2129" s="99"/>
      <c r="M2129" s="124"/>
      <c r="N2129" s="9"/>
    </row>
    <row r="2130" spans="1:14" x14ac:dyDescent="0.35">
      <c r="A2130" s="9"/>
      <c r="B2130" s="58"/>
      <c r="C2130" s="125"/>
      <c r="D2130" s="59"/>
      <c r="E2130" s="60"/>
      <c r="F2130" s="61"/>
      <c r="G2130"/>
      <c r="H2130"/>
      <c r="I2130" s="78"/>
      <c r="L2130" s="99"/>
      <c r="M2130" s="124"/>
      <c r="N2130" s="9"/>
    </row>
    <row r="2131" spans="1:14" x14ac:dyDescent="0.35">
      <c r="A2131" s="9"/>
      <c r="B2131" s="58"/>
      <c r="C2131" s="125"/>
      <c r="D2131" s="59"/>
      <c r="E2131" s="60"/>
      <c r="F2131" s="61"/>
      <c r="G2131"/>
      <c r="H2131"/>
      <c r="I2131" s="78"/>
      <c r="L2131" s="99"/>
      <c r="M2131" s="124"/>
      <c r="N2131" s="9"/>
    </row>
    <row r="2132" spans="1:14" x14ac:dyDescent="0.35">
      <c r="A2132" s="9"/>
      <c r="B2132" s="58"/>
      <c r="C2132" s="125"/>
      <c r="D2132" s="59"/>
      <c r="E2132" s="60"/>
      <c r="F2132" s="61"/>
      <c r="G2132"/>
      <c r="H2132"/>
      <c r="I2132" s="78"/>
      <c r="L2132" s="99"/>
      <c r="M2132" s="124"/>
      <c r="N2132" s="9"/>
    </row>
    <row r="2133" spans="1:14" x14ac:dyDescent="0.35">
      <c r="A2133" s="9"/>
      <c r="B2133" s="58"/>
      <c r="C2133" s="125"/>
      <c r="D2133" s="59"/>
      <c r="E2133" s="60"/>
      <c r="F2133" s="61"/>
      <c r="G2133"/>
      <c r="H2133"/>
      <c r="I2133" s="78"/>
      <c r="L2133" s="99"/>
      <c r="M2133" s="124"/>
      <c r="N2133" s="9"/>
    </row>
    <row r="2134" spans="1:14" x14ac:dyDescent="0.35">
      <c r="A2134" s="9"/>
      <c r="B2134" s="58"/>
      <c r="C2134" s="125"/>
      <c r="D2134" s="59"/>
      <c r="E2134" s="60"/>
      <c r="F2134" s="61"/>
      <c r="G2134"/>
      <c r="H2134"/>
      <c r="I2134" s="78"/>
      <c r="L2134" s="99"/>
      <c r="M2134" s="124"/>
      <c r="N2134" s="9"/>
    </row>
    <row r="2135" spans="1:14" x14ac:dyDescent="0.35">
      <c r="A2135" s="9"/>
      <c r="B2135" s="58"/>
      <c r="C2135" s="125"/>
      <c r="D2135" s="59"/>
      <c r="E2135" s="60"/>
      <c r="F2135" s="61"/>
      <c r="G2135"/>
      <c r="H2135"/>
      <c r="I2135" s="78"/>
      <c r="L2135" s="99"/>
      <c r="M2135" s="124"/>
      <c r="N2135" s="9"/>
    </row>
    <row r="2136" spans="1:14" x14ac:dyDescent="0.35">
      <c r="A2136" s="9"/>
      <c r="B2136" s="58"/>
      <c r="C2136" s="125"/>
      <c r="D2136" s="59"/>
      <c r="E2136" s="60"/>
      <c r="F2136" s="61"/>
      <c r="G2136"/>
      <c r="H2136"/>
      <c r="I2136" s="78"/>
      <c r="L2136" s="99"/>
      <c r="M2136" s="124"/>
      <c r="N2136" s="9"/>
    </row>
    <row r="2137" spans="1:14" x14ac:dyDescent="0.35">
      <c r="A2137" s="9"/>
      <c r="B2137" s="58"/>
      <c r="C2137" s="125"/>
      <c r="D2137" s="59"/>
      <c r="E2137" s="60"/>
      <c r="F2137" s="61"/>
      <c r="G2137"/>
      <c r="H2137"/>
      <c r="I2137" s="78"/>
      <c r="L2137" s="99"/>
      <c r="M2137" s="124"/>
      <c r="N2137" s="9"/>
    </row>
    <row r="2138" spans="1:14" x14ac:dyDescent="0.35">
      <c r="A2138" s="9"/>
      <c r="B2138" s="58"/>
      <c r="C2138" s="125"/>
      <c r="D2138" s="59"/>
      <c r="E2138" s="60"/>
      <c r="F2138" s="61"/>
      <c r="G2138"/>
      <c r="H2138"/>
      <c r="I2138" s="78"/>
      <c r="L2138" s="99"/>
      <c r="M2138" s="124"/>
      <c r="N2138" s="9"/>
    </row>
    <row r="2139" spans="1:14" x14ac:dyDescent="0.35">
      <c r="A2139" s="9"/>
      <c r="B2139" s="58"/>
      <c r="C2139" s="125"/>
      <c r="D2139" s="59"/>
      <c r="E2139" s="60"/>
      <c r="F2139" s="61"/>
      <c r="G2139"/>
      <c r="H2139"/>
      <c r="I2139" s="78"/>
      <c r="L2139" s="99"/>
      <c r="M2139" s="124"/>
      <c r="N2139" s="9"/>
    </row>
    <row r="2140" spans="1:14" x14ac:dyDescent="0.35">
      <c r="A2140" s="9"/>
      <c r="B2140" s="58"/>
      <c r="C2140" s="125"/>
      <c r="D2140" s="59"/>
      <c r="E2140" s="60"/>
      <c r="F2140" s="61"/>
      <c r="G2140"/>
      <c r="H2140"/>
      <c r="I2140" s="78"/>
      <c r="L2140" s="99"/>
      <c r="M2140" s="124"/>
      <c r="N2140" s="9"/>
    </row>
    <row r="2141" spans="1:14" x14ac:dyDescent="0.35">
      <c r="A2141" s="9"/>
      <c r="B2141" s="58"/>
      <c r="C2141" s="125"/>
      <c r="D2141" s="59"/>
      <c r="E2141" s="60"/>
      <c r="F2141" s="61"/>
      <c r="G2141"/>
      <c r="H2141"/>
      <c r="I2141" s="78"/>
      <c r="L2141" s="99"/>
      <c r="M2141" s="124"/>
      <c r="N2141" s="9"/>
    </row>
    <row r="2142" spans="1:14" x14ac:dyDescent="0.35">
      <c r="A2142" s="9"/>
      <c r="B2142" s="58"/>
      <c r="C2142" s="125"/>
      <c r="D2142" s="59"/>
      <c r="E2142" s="60"/>
      <c r="F2142" s="61"/>
      <c r="G2142"/>
      <c r="H2142"/>
      <c r="I2142" s="78"/>
      <c r="L2142" s="99"/>
      <c r="M2142" s="124"/>
      <c r="N2142" s="9"/>
    </row>
    <row r="2143" spans="1:14" x14ac:dyDescent="0.35">
      <c r="A2143" s="9"/>
      <c r="B2143" s="58"/>
      <c r="C2143" s="125"/>
      <c r="D2143" s="59"/>
      <c r="E2143" s="60"/>
      <c r="F2143" s="61"/>
      <c r="G2143"/>
      <c r="H2143"/>
      <c r="I2143" s="78"/>
      <c r="L2143" s="99"/>
      <c r="M2143" s="124"/>
      <c r="N2143" s="9"/>
    </row>
    <row r="2144" spans="1:14" x14ac:dyDescent="0.35">
      <c r="A2144" s="9"/>
      <c r="B2144" s="58"/>
      <c r="C2144" s="125"/>
      <c r="D2144" s="59"/>
      <c r="E2144" s="60"/>
      <c r="F2144" s="61"/>
      <c r="G2144"/>
      <c r="H2144"/>
      <c r="I2144" s="78"/>
      <c r="L2144" s="99"/>
      <c r="M2144" s="67"/>
      <c r="N2144" s="9"/>
    </row>
    <row r="2145" spans="1:14" x14ac:dyDescent="0.35">
      <c r="A2145" s="9"/>
      <c r="B2145" s="58"/>
      <c r="C2145" s="125"/>
      <c r="D2145" s="59"/>
      <c r="E2145" s="60"/>
      <c r="F2145" s="61"/>
      <c r="G2145"/>
      <c r="H2145"/>
      <c r="I2145" s="78"/>
      <c r="L2145" s="99"/>
      <c r="M2145" s="67"/>
      <c r="N2145" s="9"/>
    </row>
    <row r="2146" spans="1:14" x14ac:dyDescent="0.35">
      <c r="A2146" s="9"/>
      <c r="B2146" s="58"/>
      <c r="C2146" s="125"/>
      <c r="D2146" s="59"/>
      <c r="E2146" s="60"/>
      <c r="F2146" s="61"/>
      <c r="G2146"/>
      <c r="H2146"/>
      <c r="I2146" s="78"/>
      <c r="L2146" s="99"/>
      <c r="M2146" s="67"/>
      <c r="N2146" s="9"/>
    </row>
    <row r="2147" spans="1:14" x14ac:dyDescent="0.35">
      <c r="A2147" s="9"/>
      <c r="B2147" s="58"/>
      <c r="C2147" s="125"/>
      <c r="D2147" s="59"/>
      <c r="E2147" s="60"/>
      <c r="F2147" s="61"/>
      <c r="G2147"/>
      <c r="H2147"/>
      <c r="I2147" s="78"/>
      <c r="L2147" s="99"/>
      <c r="M2147" s="67"/>
      <c r="N2147" s="9"/>
    </row>
    <row r="2148" spans="1:14" x14ac:dyDescent="0.35">
      <c r="A2148" s="9"/>
      <c r="B2148" s="58"/>
      <c r="C2148" s="125"/>
      <c r="D2148" s="59"/>
      <c r="E2148" s="60"/>
      <c r="F2148" s="61"/>
      <c r="G2148"/>
      <c r="H2148"/>
      <c r="I2148" s="78"/>
      <c r="L2148" s="99"/>
      <c r="M2148" s="67"/>
      <c r="N2148" s="9"/>
    </row>
    <row r="2149" spans="1:14" x14ac:dyDescent="0.35">
      <c r="A2149" s="9"/>
      <c r="B2149" s="58"/>
      <c r="C2149" s="125"/>
      <c r="D2149" s="59"/>
      <c r="E2149" s="60"/>
      <c r="F2149" s="61"/>
      <c r="G2149"/>
      <c r="H2149"/>
      <c r="I2149" s="78"/>
      <c r="L2149" s="99"/>
      <c r="M2149" s="67"/>
      <c r="N2149" s="9"/>
    </row>
    <row r="2150" spans="1:14" x14ac:dyDescent="0.35">
      <c r="A2150" s="9"/>
      <c r="B2150" s="58"/>
      <c r="C2150" s="125"/>
      <c r="D2150" s="59"/>
      <c r="E2150" s="60"/>
      <c r="F2150" s="61"/>
      <c r="G2150"/>
      <c r="H2150"/>
      <c r="I2150" s="78"/>
      <c r="L2150" s="99"/>
      <c r="M2150" s="67"/>
      <c r="N2150" s="9"/>
    </row>
    <row r="2151" spans="1:14" x14ac:dyDescent="0.35">
      <c r="A2151" s="9"/>
      <c r="B2151" s="58"/>
      <c r="C2151" s="125"/>
      <c r="D2151" s="59"/>
      <c r="E2151" s="60"/>
      <c r="F2151" s="61"/>
      <c r="G2151"/>
      <c r="H2151"/>
      <c r="I2151" s="78"/>
      <c r="L2151" s="99"/>
      <c r="M2151" s="67"/>
      <c r="N2151" s="9"/>
    </row>
    <row r="2152" spans="1:14" x14ac:dyDescent="0.35">
      <c r="A2152" s="9"/>
      <c r="B2152" s="58"/>
      <c r="C2152" s="125"/>
      <c r="D2152" s="59"/>
      <c r="E2152" s="60"/>
      <c r="F2152" s="61"/>
      <c r="G2152"/>
      <c r="H2152"/>
      <c r="I2152" s="78"/>
      <c r="L2152" s="99"/>
      <c r="M2152" s="67"/>
      <c r="N2152" s="9"/>
    </row>
    <row r="2153" spans="1:14" x14ac:dyDescent="0.35">
      <c r="A2153" s="9"/>
      <c r="B2153" s="58"/>
      <c r="C2153" s="125"/>
      <c r="D2153" s="59"/>
      <c r="E2153" s="60"/>
      <c r="F2153" s="61"/>
      <c r="G2153"/>
      <c r="H2153"/>
      <c r="I2153" s="78"/>
      <c r="L2153" s="99"/>
      <c r="M2153" s="67"/>
      <c r="N2153" s="9"/>
    </row>
    <row r="2154" spans="1:14" x14ac:dyDescent="0.35">
      <c r="A2154" s="9"/>
      <c r="B2154" s="58"/>
      <c r="C2154" s="125"/>
      <c r="D2154" s="59"/>
      <c r="E2154" s="60"/>
      <c r="F2154" s="61"/>
      <c r="G2154"/>
      <c r="H2154"/>
      <c r="I2154" s="78"/>
      <c r="L2154" s="99"/>
      <c r="M2154" s="67"/>
      <c r="N2154" s="9"/>
    </row>
    <row r="2155" spans="1:14" x14ac:dyDescent="0.35">
      <c r="A2155" s="9"/>
      <c r="B2155" s="58"/>
      <c r="C2155" s="125"/>
      <c r="D2155" s="59"/>
      <c r="E2155" s="60"/>
      <c r="F2155" s="61"/>
      <c r="G2155"/>
      <c r="H2155"/>
      <c r="I2155" s="78"/>
      <c r="L2155" s="99"/>
      <c r="M2155" s="67"/>
      <c r="N2155" s="9"/>
    </row>
    <row r="2156" spans="1:14" x14ac:dyDescent="0.35">
      <c r="A2156" s="9"/>
      <c r="B2156" s="58"/>
      <c r="C2156" s="125"/>
      <c r="D2156" s="59"/>
      <c r="E2156" s="60"/>
      <c r="F2156" s="61"/>
      <c r="G2156"/>
      <c r="H2156"/>
      <c r="I2156" s="78"/>
      <c r="L2156" s="99"/>
      <c r="M2156" s="67"/>
      <c r="N2156" s="9"/>
    </row>
    <row r="2157" spans="1:14" x14ac:dyDescent="0.35">
      <c r="A2157" s="9"/>
      <c r="B2157" s="58"/>
      <c r="C2157" s="125"/>
      <c r="D2157" s="59"/>
      <c r="E2157" s="60"/>
      <c r="F2157" s="61"/>
      <c r="G2157"/>
      <c r="H2157"/>
      <c r="I2157" s="78"/>
      <c r="L2157" s="99"/>
      <c r="M2157" s="67"/>
      <c r="N2157" s="9"/>
    </row>
    <row r="2158" spans="1:14" x14ac:dyDescent="0.35">
      <c r="A2158" s="9"/>
      <c r="B2158" s="58"/>
      <c r="C2158" s="125"/>
      <c r="D2158" s="59"/>
      <c r="E2158" s="60"/>
      <c r="F2158" s="61"/>
      <c r="G2158"/>
      <c r="H2158"/>
      <c r="I2158" s="78"/>
      <c r="L2158" s="99"/>
      <c r="M2158" s="67"/>
      <c r="N2158" s="9"/>
    </row>
    <row r="2159" spans="1:14" x14ac:dyDescent="0.35">
      <c r="A2159" s="9"/>
      <c r="B2159" s="58"/>
      <c r="C2159" s="125"/>
      <c r="D2159" s="59"/>
      <c r="E2159" s="60"/>
      <c r="F2159" s="61"/>
      <c r="G2159"/>
      <c r="H2159"/>
      <c r="I2159" s="78"/>
      <c r="L2159" s="99"/>
      <c r="M2159" s="67"/>
      <c r="N2159" s="9"/>
    </row>
    <row r="2160" spans="1:14" x14ac:dyDescent="0.35">
      <c r="A2160" s="9"/>
      <c r="B2160" s="58"/>
      <c r="C2160" s="125"/>
      <c r="D2160" s="59"/>
      <c r="E2160" s="60"/>
      <c r="F2160" s="61"/>
      <c r="G2160"/>
      <c r="H2160"/>
      <c r="I2160" s="78"/>
      <c r="L2160" s="99"/>
      <c r="M2160" s="67"/>
      <c r="N2160" s="9"/>
    </row>
    <row r="2161" spans="1:14" x14ac:dyDescent="0.35">
      <c r="A2161" s="9"/>
      <c r="B2161" s="58"/>
      <c r="C2161" s="125"/>
      <c r="D2161" s="59"/>
      <c r="E2161" s="60"/>
      <c r="F2161" s="61"/>
      <c r="G2161"/>
      <c r="H2161"/>
      <c r="I2161" s="78"/>
      <c r="L2161" s="99"/>
      <c r="M2161" s="67"/>
      <c r="N2161" s="9"/>
    </row>
    <row r="2162" spans="1:14" x14ac:dyDescent="0.35">
      <c r="A2162" s="9"/>
      <c r="B2162" s="58"/>
      <c r="C2162" s="125"/>
      <c r="D2162" s="59"/>
      <c r="E2162" s="60"/>
      <c r="F2162" s="61"/>
      <c r="G2162"/>
      <c r="H2162"/>
      <c r="I2162" s="78"/>
      <c r="L2162" s="99"/>
      <c r="M2162" s="67"/>
      <c r="N2162" s="9"/>
    </row>
    <row r="2163" spans="1:14" x14ac:dyDescent="0.35">
      <c r="A2163" s="9"/>
      <c r="B2163" s="58"/>
      <c r="C2163" s="125"/>
      <c r="D2163" s="59"/>
      <c r="E2163" s="60"/>
      <c r="F2163" s="61"/>
      <c r="G2163"/>
      <c r="H2163"/>
      <c r="I2163" s="78"/>
      <c r="L2163" s="99"/>
      <c r="M2163" s="67"/>
      <c r="N2163" s="9"/>
    </row>
    <row r="2164" spans="1:14" x14ac:dyDescent="0.35">
      <c r="A2164" s="9"/>
      <c r="B2164" s="58"/>
      <c r="C2164" s="125"/>
      <c r="D2164" s="59"/>
      <c r="E2164" s="60"/>
      <c r="F2164" s="61"/>
      <c r="G2164"/>
      <c r="H2164"/>
      <c r="I2164" s="78"/>
      <c r="L2164" s="99"/>
      <c r="M2164" s="67"/>
      <c r="N2164" s="9"/>
    </row>
    <row r="2165" spans="1:14" x14ac:dyDescent="0.35">
      <c r="A2165" s="9"/>
      <c r="B2165" s="58"/>
      <c r="C2165" s="125"/>
      <c r="D2165" s="59"/>
      <c r="E2165" s="60"/>
      <c r="F2165" s="61"/>
      <c r="G2165"/>
      <c r="H2165"/>
      <c r="I2165" s="78"/>
      <c r="L2165" s="99"/>
      <c r="M2165" s="67"/>
      <c r="N2165" s="9"/>
    </row>
    <row r="2166" spans="1:14" x14ac:dyDescent="0.35">
      <c r="A2166" s="9"/>
      <c r="B2166" s="58"/>
      <c r="C2166" s="125"/>
      <c r="D2166" s="59"/>
      <c r="E2166" s="60"/>
      <c r="F2166" s="61"/>
      <c r="G2166"/>
      <c r="H2166"/>
      <c r="I2166" s="78"/>
      <c r="L2166" s="99"/>
      <c r="M2166" s="67"/>
      <c r="N2166" s="9"/>
    </row>
    <row r="2167" spans="1:14" x14ac:dyDescent="0.35">
      <c r="A2167" s="9"/>
      <c r="B2167" s="58"/>
      <c r="C2167" s="125"/>
      <c r="D2167" s="59"/>
      <c r="E2167" s="60"/>
      <c r="F2167" s="61"/>
      <c r="G2167"/>
      <c r="H2167"/>
      <c r="I2167" s="78"/>
      <c r="L2167" s="99"/>
      <c r="M2167" s="67"/>
      <c r="N2167" s="9"/>
    </row>
    <row r="2168" spans="1:14" x14ac:dyDescent="0.35">
      <c r="A2168" s="9"/>
      <c r="B2168" s="58"/>
      <c r="C2168" s="125"/>
      <c r="D2168" s="59"/>
      <c r="E2168" s="60"/>
      <c r="F2168" s="61"/>
      <c r="G2168"/>
      <c r="H2168"/>
      <c r="I2168" s="78"/>
      <c r="L2168" s="99"/>
      <c r="M2168" s="67"/>
      <c r="N2168" s="9"/>
    </row>
    <row r="2169" spans="1:14" x14ac:dyDescent="0.35">
      <c r="A2169" s="9"/>
      <c r="B2169" s="58"/>
      <c r="C2169" s="125"/>
      <c r="D2169" s="59"/>
      <c r="E2169" s="60"/>
      <c r="F2169" s="61"/>
      <c r="G2169"/>
      <c r="H2169"/>
      <c r="I2169" s="78"/>
      <c r="L2169" s="99"/>
      <c r="M2169" s="67"/>
      <c r="N2169" s="9"/>
    </row>
    <row r="2170" spans="1:14" x14ac:dyDescent="0.35">
      <c r="A2170" s="9"/>
      <c r="B2170" s="58"/>
      <c r="C2170" s="125"/>
      <c r="D2170" s="59"/>
      <c r="E2170" s="60"/>
      <c r="F2170" s="61"/>
      <c r="G2170"/>
      <c r="H2170"/>
      <c r="I2170" s="78"/>
      <c r="L2170" s="99"/>
      <c r="M2170" s="67"/>
      <c r="N2170" s="9"/>
    </row>
    <row r="2171" spans="1:14" x14ac:dyDescent="0.35">
      <c r="A2171" s="9"/>
      <c r="B2171" s="58"/>
      <c r="C2171" s="125"/>
      <c r="D2171" s="59"/>
      <c r="E2171" s="60"/>
      <c r="F2171" s="61"/>
      <c r="G2171"/>
      <c r="H2171"/>
      <c r="I2171" s="78"/>
      <c r="L2171" s="99"/>
      <c r="M2171" s="67"/>
      <c r="N2171" s="9"/>
    </row>
    <row r="2172" spans="1:14" x14ac:dyDescent="0.35">
      <c r="A2172" s="9"/>
      <c r="B2172" s="58"/>
      <c r="C2172" s="125"/>
      <c r="D2172" s="59"/>
      <c r="E2172" s="60"/>
      <c r="F2172" s="61"/>
      <c r="G2172"/>
      <c r="H2172"/>
      <c r="I2172" s="78"/>
      <c r="L2172" s="99"/>
      <c r="M2172" s="67"/>
      <c r="N2172" s="9"/>
    </row>
    <row r="2173" spans="1:14" x14ac:dyDescent="0.35">
      <c r="A2173" s="9"/>
      <c r="B2173" s="58"/>
      <c r="C2173" s="125"/>
      <c r="D2173" s="59"/>
      <c r="E2173" s="60"/>
      <c r="F2173" s="61"/>
      <c r="G2173"/>
      <c r="H2173"/>
      <c r="I2173" s="78"/>
      <c r="L2173" s="99"/>
      <c r="M2173" s="67"/>
      <c r="N2173" s="9"/>
    </row>
    <row r="2174" spans="1:14" x14ac:dyDescent="0.35">
      <c r="A2174" s="9"/>
      <c r="B2174" s="58"/>
      <c r="C2174" s="125"/>
      <c r="D2174" s="59"/>
      <c r="E2174" s="60"/>
      <c r="F2174" s="61"/>
      <c r="G2174"/>
      <c r="H2174"/>
      <c r="I2174" s="78"/>
      <c r="L2174" s="99"/>
      <c r="M2174" s="67"/>
      <c r="N2174" s="9"/>
    </row>
    <row r="2175" spans="1:14" x14ac:dyDescent="0.35">
      <c r="A2175" s="9"/>
      <c r="B2175" s="58"/>
      <c r="C2175" s="125"/>
      <c r="D2175" s="59"/>
      <c r="E2175" s="60"/>
      <c r="F2175" s="61"/>
      <c r="G2175"/>
      <c r="H2175"/>
      <c r="I2175" s="78"/>
      <c r="L2175" s="99"/>
      <c r="M2175" s="67"/>
      <c r="N2175" s="9"/>
    </row>
    <row r="2176" spans="1:14" x14ac:dyDescent="0.35">
      <c r="A2176" s="9"/>
      <c r="B2176" s="58"/>
      <c r="C2176" s="125"/>
      <c r="D2176" s="59"/>
      <c r="E2176" s="60"/>
      <c r="F2176" s="61"/>
      <c r="G2176"/>
      <c r="H2176"/>
      <c r="I2176" s="78"/>
      <c r="L2176" s="99"/>
      <c r="M2176" s="67"/>
      <c r="N2176" s="9"/>
    </row>
    <row r="2177" spans="1:14" x14ac:dyDescent="0.35">
      <c r="A2177" s="9"/>
      <c r="B2177" s="58"/>
      <c r="C2177" s="125"/>
      <c r="D2177" s="59"/>
      <c r="E2177" s="60"/>
      <c r="F2177" s="61"/>
      <c r="G2177"/>
      <c r="H2177"/>
      <c r="I2177" s="78"/>
      <c r="L2177" s="99"/>
      <c r="M2177" s="67"/>
      <c r="N2177" s="9"/>
    </row>
    <row r="2178" spans="1:14" x14ac:dyDescent="0.35">
      <c r="A2178" s="9"/>
      <c r="B2178" s="58"/>
      <c r="C2178" s="125"/>
      <c r="D2178" s="59"/>
      <c r="E2178" s="60"/>
      <c r="F2178" s="61"/>
      <c r="G2178"/>
      <c r="H2178"/>
      <c r="I2178" s="78"/>
      <c r="L2178" s="99"/>
      <c r="M2178" s="67"/>
      <c r="N2178" s="9"/>
    </row>
    <row r="2179" spans="1:14" x14ac:dyDescent="0.35">
      <c r="A2179" s="9"/>
      <c r="B2179" s="58"/>
      <c r="C2179" s="125"/>
      <c r="D2179" s="59"/>
      <c r="E2179" s="60"/>
      <c r="F2179" s="61"/>
      <c r="G2179"/>
      <c r="H2179"/>
      <c r="I2179" s="78"/>
      <c r="L2179" s="99"/>
      <c r="M2179" s="67"/>
      <c r="N2179" s="9"/>
    </row>
    <row r="2180" spans="1:14" x14ac:dyDescent="0.35">
      <c r="A2180" s="9"/>
      <c r="B2180" s="58"/>
      <c r="C2180" s="125"/>
      <c r="D2180" s="59"/>
      <c r="E2180" s="60"/>
      <c r="F2180" s="61"/>
      <c r="G2180"/>
      <c r="H2180"/>
      <c r="I2180" s="78"/>
      <c r="L2180" s="99"/>
      <c r="M2180" s="67"/>
      <c r="N2180" s="9"/>
    </row>
    <row r="2181" spans="1:14" x14ac:dyDescent="0.35">
      <c r="A2181" s="9"/>
      <c r="B2181" s="58"/>
      <c r="C2181" s="125"/>
      <c r="D2181" s="59"/>
      <c r="E2181" s="60"/>
      <c r="F2181" s="61"/>
      <c r="G2181"/>
      <c r="H2181"/>
      <c r="I2181" s="78"/>
      <c r="L2181" s="99"/>
      <c r="M2181" s="67"/>
      <c r="N2181" s="9"/>
    </row>
    <row r="2182" spans="1:14" x14ac:dyDescent="0.35">
      <c r="A2182" s="9"/>
      <c r="B2182" s="58"/>
      <c r="C2182" s="125"/>
      <c r="D2182" s="59"/>
      <c r="E2182" s="60"/>
      <c r="F2182" s="61"/>
      <c r="G2182"/>
      <c r="H2182"/>
      <c r="I2182" s="78"/>
      <c r="L2182" s="99"/>
      <c r="M2182" s="67"/>
      <c r="N2182" s="9"/>
    </row>
    <row r="2183" spans="1:14" x14ac:dyDescent="0.35">
      <c r="A2183" s="9"/>
      <c r="B2183" s="58"/>
      <c r="C2183" s="125"/>
      <c r="D2183" s="59"/>
      <c r="E2183" s="60"/>
      <c r="F2183" s="61"/>
      <c r="G2183"/>
      <c r="H2183"/>
      <c r="I2183" s="78"/>
      <c r="L2183" s="99"/>
      <c r="M2183" s="67"/>
      <c r="N2183" s="9"/>
    </row>
    <row r="2184" spans="1:14" x14ac:dyDescent="0.35">
      <c r="A2184" s="9"/>
      <c r="B2184" s="58"/>
      <c r="C2184" s="125"/>
      <c r="D2184" s="59"/>
      <c r="E2184" s="60"/>
      <c r="F2184" s="61"/>
      <c r="G2184"/>
      <c r="H2184"/>
      <c r="I2184" s="78"/>
      <c r="L2184" s="99"/>
      <c r="M2184" s="67"/>
      <c r="N2184" s="9"/>
    </row>
    <row r="2185" spans="1:14" x14ac:dyDescent="0.35">
      <c r="A2185" s="9"/>
      <c r="B2185" s="58"/>
      <c r="C2185" s="125"/>
      <c r="D2185" s="59"/>
      <c r="E2185" s="60"/>
      <c r="F2185" s="61"/>
      <c r="G2185"/>
      <c r="H2185"/>
      <c r="I2185" s="78"/>
      <c r="L2185" s="99"/>
      <c r="M2185" s="67"/>
      <c r="N2185" s="9"/>
    </row>
    <row r="2186" spans="1:14" x14ac:dyDescent="0.35">
      <c r="A2186" s="9"/>
      <c r="B2186" s="58"/>
      <c r="C2186" s="125"/>
      <c r="D2186" s="59"/>
      <c r="E2186" s="60"/>
      <c r="F2186" s="61"/>
      <c r="G2186"/>
      <c r="H2186"/>
      <c r="I2186" s="78"/>
      <c r="L2186" s="99"/>
      <c r="M2186" s="67"/>
      <c r="N2186" s="9"/>
    </row>
    <row r="2187" spans="1:14" x14ac:dyDescent="0.35">
      <c r="A2187" s="9"/>
      <c r="B2187" s="58"/>
      <c r="C2187" s="125"/>
      <c r="D2187" s="59"/>
      <c r="E2187" s="60"/>
      <c r="F2187" s="61"/>
      <c r="G2187"/>
      <c r="H2187"/>
      <c r="I2187" s="78"/>
      <c r="L2187" s="99"/>
      <c r="M2187" s="67"/>
      <c r="N2187" s="9"/>
    </row>
    <row r="2188" spans="1:14" x14ac:dyDescent="0.35">
      <c r="A2188" s="9"/>
      <c r="B2188" s="58"/>
      <c r="C2188" s="125"/>
      <c r="D2188" s="59"/>
      <c r="E2188" s="60"/>
      <c r="F2188" s="61"/>
      <c r="G2188"/>
      <c r="H2188"/>
      <c r="I2188" s="78"/>
      <c r="L2188" s="99"/>
      <c r="M2188" s="67"/>
      <c r="N2188" s="9"/>
    </row>
    <row r="2189" spans="1:14" x14ac:dyDescent="0.35">
      <c r="A2189" s="9"/>
      <c r="B2189" s="58"/>
      <c r="C2189" s="125"/>
      <c r="D2189" s="59"/>
      <c r="E2189" s="60"/>
      <c r="F2189" s="61"/>
      <c r="G2189"/>
      <c r="H2189"/>
      <c r="I2189" s="78"/>
      <c r="L2189" s="99"/>
      <c r="M2189" s="67"/>
      <c r="N2189" s="9"/>
    </row>
    <row r="2190" spans="1:14" x14ac:dyDescent="0.35">
      <c r="A2190" s="9"/>
      <c r="B2190" s="58"/>
      <c r="C2190" s="125"/>
      <c r="D2190" s="59"/>
      <c r="E2190" s="60"/>
      <c r="F2190" s="61"/>
      <c r="G2190"/>
      <c r="H2190"/>
      <c r="I2190" s="78"/>
      <c r="L2190" s="99"/>
      <c r="M2190" s="67"/>
      <c r="N2190" s="9"/>
    </row>
    <row r="2191" spans="1:14" x14ac:dyDescent="0.35">
      <c r="A2191" s="9"/>
      <c r="B2191" s="58"/>
      <c r="C2191" s="125"/>
      <c r="D2191" s="59"/>
      <c r="E2191" s="60"/>
      <c r="F2191" s="61"/>
      <c r="G2191"/>
      <c r="H2191"/>
      <c r="I2191" s="78"/>
      <c r="L2191" s="99"/>
      <c r="M2191" s="67"/>
      <c r="N2191" s="9"/>
    </row>
    <row r="2192" spans="1:14" x14ac:dyDescent="0.35">
      <c r="A2192" s="9"/>
      <c r="B2192" s="58"/>
      <c r="C2192" s="125"/>
      <c r="D2192" s="59"/>
      <c r="E2192" s="60"/>
      <c r="F2192" s="61"/>
      <c r="G2192"/>
      <c r="H2192"/>
      <c r="I2192" s="78"/>
      <c r="L2192" s="99"/>
      <c r="M2192" s="67"/>
      <c r="N2192" s="9"/>
    </row>
    <row r="2193" spans="1:14" x14ac:dyDescent="0.35">
      <c r="A2193" s="9"/>
      <c r="B2193" s="58"/>
      <c r="C2193" s="125"/>
      <c r="D2193" s="59"/>
      <c r="E2193" s="60"/>
      <c r="F2193" s="61"/>
      <c r="G2193"/>
      <c r="H2193"/>
      <c r="I2193" s="78"/>
      <c r="L2193" s="99"/>
      <c r="M2193" s="67"/>
      <c r="N2193" s="9"/>
    </row>
    <row r="2194" spans="1:14" x14ac:dyDescent="0.35">
      <c r="A2194" s="9"/>
      <c r="B2194" s="58"/>
      <c r="C2194" s="125"/>
      <c r="D2194" s="59"/>
      <c r="E2194" s="60"/>
      <c r="F2194" s="61"/>
      <c r="G2194"/>
      <c r="H2194"/>
      <c r="I2194" s="78"/>
      <c r="L2194" s="99"/>
      <c r="M2194" s="67"/>
      <c r="N2194" s="9"/>
    </row>
    <row r="2195" spans="1:14" x14ac:dyDescent="0.35">
      <c r="A2195" s="9"/>
      <c r="B2195" s="58"/>
      <c r="C2195" s="125"/>
      <c r="D2195" s="59"/>
      <c r="E2195" s="60"/>
      <c r="F2195" s="61"/>
      <c r="G2195"/>
      <c r="H2195"/>
      <c r="I2195" s="78"/>
      <c r="L2195" s="99"/>
      <c r="M2195" s="67"/>
      <c r="N2195" s="9"/>
    </row>
    <row r="2196" spans="1:14" x14ac:dyDescent="0.35">
      <c r="A2196" s="9"/>
      <c r="B2196" s="58"/>
      <c r="C2196" s="125"/>
      <c r="D2196" s="59"/>
      <c r="E2196" s="60"/>
      <c r="F2196" s="61"/>
      <c r="G2196"/>
      <c r="H2196"/>
      <c r="I2196" s="78"/>
      <c r="L2196" s="99"/>
      <c r="M2196" s="67"/>
      <c r="N2196" s="9"/>
    </row>
    <row r="2197" spans="1:14" x14ac:dyDescent="0.35">
      <c r="A2197" s="9"/>
      <c r="B2197" s="58"/>
      <c r="C2197" s="125"/>
      <c r="D2197" s="59"/>
      <c r="E2197" s="60"/>
      <c r="F2197" s="61"/>
      <c r="G2197"/>
      <c r="H2197"/>
      <c r="I2197" s="78"/>
      <c r="L2197" s="99"/>
      <c r="M2197" s="67"/>
      <c r="N2197" s="9"/>
    </row>
    <row r="2198" spans="1:14" x14ac:dyDescent="0.35">
      <c r="A2198" s="9"/>
      <c r="B2198" s="58"/>
      <c r="C2198" s="125"/>
      <c r="D2198" s="59"/>
      <c r="E2198" s="60"/>
      <c r="F2198" s="61"/>
      <c r="G2198"/>
      <c r="H2198"/>
      <c r="I2198" s="78"/>
      <c r="L2198" s="99"/>
      <c r="M2198" s="67"/>
      <c r="N2198" s="9"/>
    </row>
    <row r="2199" spans="1:14" x14ac:dyDescent="0.35">
      <c r="A2199" s="9"/>
      <c r="B2199" s="58"/>
      <c r="C2199" s="125"/>
      <c r="D2199" s="59"/>
      <c r="E2199" s="60"/>
      <c r="F2199" s="61"/>
      <c r="G2199"/>
      <c r="H2199"/>
      <c r="I2199" s="78"/>
      <c r="L2199" s="99"/>
      <c r="M2199" s="67"/>
      <c r="N2199" s="9"/>
    </row>
    <row r="2200" spans="1:14" x14ac:dyDescent="0.35">
      <c r="A2200" s="9"/>
      <c r="B2200" s="58"/>
      <c r="C2200" s="125"/>
      <c r="D2200" s="59"/>
      <c r="E2200" s="60"/>
      <c r="F2200" s="61"/>
      <c r="G2200"/>
      <c r="H2200"/>
      <c r="I2200" s="78"/>
      <c r="L2200" s="99"/>
      <c r="M2200" s="67"/>
      <c r="N2200" s="9"/>
    </row>
    <row r="2201" spans="1:14" x14ac:dyDescent="0.35">
      <c r="A2201" s="9"/>
      <c r="B2201" s="58"/>
      <c r="C2201" s="125"/>
      <c r="D2201" s="59"/>
      <c r="E2201" s="60"/>
      <c r="F2201" s="61"/>
      <c r="G2201"/>
      <c r="H2201"/>
      <c r="I2201" s="78"/>
      <c r="L2201" s="99"/>
      <c r="M2201" s="67"/>
      <c r="N2201" s="9"/>
    </row>
    <row r="2202" spans="1:14" x14ac:dyDescent="0.35">
      <c r="A2202" s="9"/>
      <c r="B2202" s="58"/>
      <c r="C2202" s="125"/>
      <c r="D2202" s="59"/>
      <c r="E2202" s="60"/>
      <c r="F2202" s="61"/>
      <c r="G2202"/>
      <c r="H2202"/>
      <c r="I2202" s="78"/>
      <c r="L2202" s="99"/>
      <c r="M2202" s="67"/>
      <c r="N2202" s="9"/>
    </row>
    <row r="2203" spans="1:14" x14ac:dyDescent="0.35">
      <c r="A2203" s="9"/>
      <c r="B2203" s="58"/>
      <c r="C2203" s="125"/>
      <c r="D2203" s="59"/>
      <c r="E2203" s="60"/>
      <c r="F2203" s="61"/>
      <c r="G2203"/>
      <c r="H2203"/>
      <c r="I2203" s="78"/>
      <c r="L2203" s="99"/>
      <c r="M2203" s="67"/>
      <c r="N2203" s="9"/>
    </row>
    <row r="2204" spans="1:14" x14ac:dyDescent="0.35">
      <c r="A2204" s="9"/>
      <c r="B2204" s="58"/>
      <c r="C2204" s="125"/>
      <c r="D2204" s="59"/>
      <c r="E2204" s="60"/>
      <c r="F2204" s="61"/>
      <c r="G2204"/>
      <c r="H2204"/>
      <c r="I2204" s="78"/>
      <c r="L2204" s="99"/>
      <c r="M2204" s="67"/>
      <c r="N2204" s="9"/>
    </row>
    <row r="2205" spans="1:14" x14ac:dyDescent="0.35">
      <c r="A2205" s="9"/>
      <c r="B2205" s="58"/>
      <c r="C2205" s="125"/>
      <c r="D2205" s="59"/>
      <c r="E2205" s="60"/>
      <c r="F2205" s="61"/>
      <c r="G2205"/>
      <c r="H2205"/>
      <c r="I2205" s="78"/>
      <c r="L2205" s="99"/>
      <c r="M2205" s="67"/>
      <c r="N2205" s="9"/>
    </row>
    <row r="2206" spans="1:14" x14ac:dyDescent="0.35">
      <c r="A2206" s="9"/>
      <c r="B2206" s="58"/>
      <c r="C2206" s="125"/>
      <c r="D2206" s="59"/>
      <c r="E2206" s="60"/>
      <c r="F2206" s="61"/>
      <c r="G2206"/>
      <c r="H2206"/>
      <c r="I2206" s="78"/>
      <c r="L2206" s="99"/>
      <c r="M2206" s="67"/>
      <c r="N2206" s="9"/>
    </row>
    <row r="2207" spans="1:14" x14ac:dyDescent="0.35">
      <c r="A2207" s="9"/>
      <c r="B2207" s="58"/>
      <c r="C2207" s="125"/>
      <c r="D2207" s="59"/>
      <c r="E2207" s="60"/>
      <c r="F2207" s="61"/>
      <c r="G2207"/>
      <c r="H2207"/>
      <c r="I2207" s="78"/>
      <c r="L2207" s="99"/>
      <c r="M2207" s="67"/>
      <c r="N2207" s="9"/>
    </row>
    <row r="2208" spans="1:14" x14ac:dyDescent="0.35">
      <c r="A2208" s="9"/>
      <c r="B2208" s="58"/>
      <c r="C2208" s="125"/>
      <c r="D2208" s="59"/>
      <c r="E2208" s="60"/>
      <c r="F2208" s="61"/>
      <c r="G2208"/>
      <c r="H2208"/>
      <c r="I2208" s="78"/>
      <c r="L2208" s="99"/>
      <c r="M2208" s="67"/>
      <c r="N2208" s="9"/>
    </row>
    <row r="2209" spans="1:14" x14ac:dyDescent="0.35">
      <c r="A2209" s="9"/>
      <c r="B2209" s="58"/>
      <c r="C2209" s="125"/>
      <c r="D2209" s="59"/>
      <c r="E2209" s="60"/>
      <c r="F2209" s="61"/>
      <c r="G2209"/>
      <c r="H2209"/>
      <c r="I2209" s="78"/>
      <c r="L2209" s="99"/>
      <c r="M2209" s="67"/>
      <c r="N2209" s="9"/>
    </row>
    <row r="2210" spans="1:14" x14ac:dyDescent="0.35">
      <c r="A2210" s="9"/>
      <c r="B2210" s="58"/>
      <c r="C2210" s="125"/>
      <c r="D2210" s="59"/>
      <c r="E2210" s="60"/>
      <c r="F2210" s="61"/>
      <c r="G2210"/>
      <c r="H2210"/>
      <c r="I2210" s="78"/>
      <c r="L2210" s="99"/>
      <c r="M2210" s="67"/>
      <c r="N2210" s="9"/>
    </row>
    <row r="2211" spans="1:14" x14ac:dyDescent="0.35">
      <c r="A2211" s="9"/>
      <c r="B2211" s="58"/>
      <c r="C2211" s="125"/>
      <c r="D2211" s="59"/>
      <c r="E2211" s="60"/>
      <c r="F2211" s="61"/>
      <c r="G2211"/>
      <c r="H2211"/>
      <c r="I2211" s="78"/>
      <c r="L2211" s="99"/>
      <c r="M2211" s="67"/>
      <c r="N2211" s="9"/>
    </row>
    <row r="2212" spans="1:14" x14ac:dyDescent="0.35">
      <c r="A2212" s="9"/>
      <c r="B2212" s="58"/>
      <c r="C2212" s="125"/>
      <c r="D2212" s="59"/>
      <c r="E2212" s="60"/>
      <c r="F2212" s="61"/>
      <c r="G2212"/>
      <c r="H2212"/>
      <c r="I2212" s="78"/>
      <c r="L2212" s="99"/>
      <c r="M2212" s="67"/>
      <c r="N2212" s="9"/>
    </row>
    <row r="2213" spans="1:14" x14ac:dyDescent="0.35">
      <c r="A2213" s="9"/>
      <c r="B2213" s="58"/>
      <c r="C2213" s="125"/>
      <c r="D2213" s="59"/>
      <c r="E2213" s="60"/>
      <c r="F2213" s="61"/>
      <c r="G2213"/>
      <c r="H2213"/>
      <c r="I2213" s="78"/>
      <c r="L2213" s="99"/>
      <c r="M2213" s="67"/>
      <c r="N2213" s="9"/>
    </row>
    <row r="2214" spans="1:14" x14ac:dyDescent="0.35">
      <c r="A2214" s="9"/>
      <c r="B2214" s="58"/>
      <c r="C2214" s="125"/>
      <c r="D2214" s="59"/>
      <c r="E2214" s="60"/>
      <c r="F2214" s="61"/>
      <c r="G2214"/>
      <c r="H2214"/>
      <c r="I2214" s="78"/>
      <c r="L2214" s="99"/>
      <c r="M2214" s="67"/>
      <c r="N2214" s="9"/>
    </row>
    <row r="2215" spans="1:14" x14ac:dyDescent="0.35">
      <c r="A2215" s="9"/>
      <c r="B2215" s="58"/>
      <c r="C2215" s="125"/>
      <c r="D2215" s="59"/>
      <c r="E2215" s="60"/>
      <c r="F2215" s="61"/>
      <c r="G2215"/>
      <c r="H2215"/>
      <c r="I2215" s="78"/>
      <c r="L2215" s="99"/>
      <c r="M2215" s="67"/>
      <c r="N2215" s="9"/>
    </row>
    <row r="2216" spans="1:14" x14ac:dyDescent="0.35">
      <c r="A2216" s="9"/>
      <c r="B2216" s="58"/>
      <c r="C2216" s="125"/>
      <c r="D2216" s="59"/>
      <c r="E2216" s="60"/>
      <c r="F2216" s="61"/>
      <c r="G2216"/>
      <c r="H2216"/>
      <c r="I2216" s="78"/>
      <c r="L2216" s="99"/>
      <c r="M2216" s="67"/>
      <c r="N2216" s="9"/>
    </row>
    <row r="2217" spans="1:14" x14ac:dyDescent="0.35">
      <c r="A2217" s="9"/>
      <c r="B2217" s="58"/>
      <c r="C2217" s="125"/>
      <c r="D2217" s="59"/>
      <c r="E2217" s="60"/>
      <c r="F2217" s="61"/>
      <c r="G2217"/>
      <c r="H2217"/>
      <c r="I2217" s="78"/>
      <c r="L2217" s="99"/>
      <c r="M2217" s="67"/>
      <c r="N2217" s="9"/>
    </row>
    <row r="2218" spans="1:14" x14ac:dyDescent="0.35">
      <c r="A2218" s="9"/>
      <c r="B2218" s="58"/>
      <c r="C2218" s="125"/>
      <c r="D2218" s="59"/>
      <c r="E2218" s="60"/>
      <c r="F2218" s="61"/>
      <c r="G2218"/>
      <c r="H2218"/>
      <c r="I2218" s="78"/>
      <c r="L2218" s="99"/>
      <c r="M2218" s="67"/>
      <c r="N2218" s="9"/>
    </row>
    <row r="2219" spans="1:14" x14ac:dyDescent="0.35">
      <c r="A2219" s="9"/>
      <c r="B2219" s="58"/>
      <c r="C2219" s="125"/>
      <c r="D2219" s="59"/>
      <c r="E2219" s="60"/>
      <c r="F2219" s="61"/>
      <c r="G2219"/>
      <c r="H2219"/>
      <c r="I2219" s="78"/>
      <c r="L2219" s="99"/>
      <c r="M2219" s="67"/>
      <c r="N2219" s="9"/>
    </row>
    <row r="2220" spans="1:14" x14ac:dyDescent="0.35">
      <c r="A2220" s="9"/>
      <c r="B2220" s="58"/>
      <c r="C2220" s="125"/>
      <c r="D2220" s="59"/>
      <c r="E2220" s="60"/>
      <c r="F2220" s="61"/>
      <c r="G2220"/>
      <c r="H2220"/>
      <c r="I2220" s="78"/>
      <c r="L2220" s="99"/>
      <c r="M2220" s="67"/>
      <c r="N2220" s="9"/>
    </row>
    <row r="2221" spans="1:14" x14ac:dyDescent="0.35">
      <c r="A2221" s="9"/>
      <c r="B2221" s="58"/>
      <c r="C2221" s="125"/>
      <c r="D2221" s="59"/>
      <c r="E2221" s="60"/>
      <c r="F2221" s="61"/>
      <c r="G2221"/>
      <c r="H2221"/>
      <c r="I2221" s="78"/>
      <c r="L2221" s="99"/>
      <c r="M2221" s="67"/>
      <c r="N2221" s="9"/>
    </row>
    <row r="2222" spans="1:14" x14ac:dyDescent="0.35">
      <c r="A2222" s="9"/>
      <c r="B2222" s="58"/>
      <c r="C2222" s="125"/>
      <c r="D2222" s="59"/>
      <c r="E2222" s="60"/>
      <c r="F2222" s="61"/>
      <c r="G2222"/>
      <c r="H2222"/>
      <c r="I2222" s="78"/>
      <c r="L2222" s="99"/>
      <c r="M2222" s="67"/>
      <c r="N2222" s="9"/>
    </row>
    <row r="2223" spans="1:14" x14ac:dyDescent="0.35">
      <c r="A2223" s="9"/>
      <c r="B2223" s="58"/>
      <c r="C2223" s="125"/>
      <c r="D2223" s="59"/>
      <c r="E2223" s="60"/>
      <c r="F2223" s="61"/>
      <c r="G2223"/>
      <c r="H2223"/>
      <c r="I2223" s="78"/>
      <c r="L2223" s="99"/>
      <c r="M2223" s="67"/>
      <c r="N2223" s="9"/>
    </row>
    <row r="2224" spans="1:14" x14ac:dyDescent="0.35">
      <c r="A2224" s="9"/>
      <c r="B2224" s="58"/>
      <c r="C2224" s="125"/>
      <c r="D2224" s="59"/>
      <c r="E2224" s="60"/>
      <c r="F2224" s="61"/>
      <c r="G2224"/>
      <c r="H2224"/>
      <c r="I2224" s="78"/>
      <c r="L2224" s="99"/>
      <c r="M2224" s="67"/>
      <c r="N2224" s="9"/>
    </row>
    <row r="2225" spans="1:14" x14ac:dyDescent="0.35">
      <c r="A2225" s="9"/>
      <c r="B2225" s="58"/>
      <c r="C2225" s="125"/>
      <c r="D2225" s="59"/>
      <c r="E2225" s="60"/>
      <c r="F2225" s="61"/>
      <c r="G2225"/>
      <c r="H2225"/>
      <c r="I2225" s="78"/>
      <c r="L2225" s="99"/>
      <c r="M2225" s="67"/>
      <c r="N2225" s="9"/>
    </row>
    <row r="2226" spans="1:14" x14ac:dyDescent="0.35">
      <c r="A2226" s="9"/>
      <c r="B2226" s="58"/>
      <c r="C2226" s="125"/>
      <c r="D2226" s="59"/>
      <c r="E2226" s="60"/>
      <c r="F2226" s="61"/>
      <c r="G2226"/>
      <c r="H2226"/>
      <c r="I2226" s="78"/>
      <c r="L2226" s="99"/>
      <c r="M2226" s="67"/>
      <c r="N2226" s="9"/>
    </row>
    <row r="2227" spans="1:14" x14ac:dyDescent="0.35">
      <c r="A2227" s="9"/>
      <c r="B2227" s="58"/>
      <c r="C2227" s="125"/>
      <c r="D2227" s="59"/>
      <c r="E2227" s="60"/>
      <c r="F2227" s="61"/>
      <c r="G2227"/>
      <c r="H2227"/>
      <c r="I2227" s="78"/>
      <c r="L2227" s="99"/>
      <c r="M2227" s="67"/>
      <c r="N2227" s="9"/>
    </row>
    <row r="2228" spans="1:14" x14ac:dyDescent="0.35">
      <c r="A2228" s="9"/>
      <c r="B2228" s="58"/>
      <c r="C2228" s="125"/>
      <c r="D2228" s="59"/>
      <c r="E2228" s="60"/>
      <c r="F2228" s="61"/>
      <c r="G2228"/>
      <c r="H2228"/>
      <c r="I2228" s="78"/>
      <c r="L2228" s="99"/>
      <c r="M2228" s="67"/>
      <c r="N2228" s="9"/>
    </row>
    <row r="2229" spans="1:14" x14ac:dyDescent="0.35">
      <c r="A2229" s="9"/>
      <c r="B2229" s="58"/>
      <c r="C2229" s="125"/>
      <c r="D2229" s="59"/>
      <c r="E2229" s="60"/>
      <c r="F2229" s="61"/>
      <c r="G2229"/>
      <c r="H2229"/>
      <c r="I2229" s="78"/>
      <c r="L2229" s="99"/>
      <c r="M2229" s="67"/>
      <c r="N2229" s="9"/>
    </row>
    <row r="2230" spans="1:14" x14ac:dyDescent="0.35">
      <c r="A2230" s="9"/>
      <c r="B2230" s="58"/>
      <c r="C2230" s="125"/>
      <c r="D2230" s="59"/>
      <c r="E2230" s="60"/>
      <c r="F2230" s="61"/>
      <c r="G2230"/>
      <c r="H2230"/>
      <c r="I2230" s="78"/>
      <c r="L2230" s="99"/>
      <c r="M2230" s="67"/>
      <c r="N2230" s="9"/>
    </row>
    <row r="2231" spans="1:14" x14ac:dyDescent="0.35">
      <c r="A2231" s="9"/>
      <c r="B2231" s="58"/>
      <c r="C2231" s="125"/>
      <c r="D2231" s="59"/>
      <c r="E2231" s="60"/>
      <c r="F2231" s="61"/>
      <c r="G2231"/>
      <c r="H2231"/>
      <c r="I2231" s="78"/>
      <c r="L2231" s="99"/>
      <c r="M2231" s="67"/>
      <c r="N2231" s="9"/>
    </row>
    <row r="2232" spans="1:14" x14ac:dyDescent="0.35">
      <c r="A2232" s="9"/>
      <c r="B2232" s="58"/>
      <c r="C2232" s="125"/>
      <c r="D2232" s="59"/>
      <c r="E2232" s="60"/>
      <c r="F2232" s="61"/>
      <c r="G2232"/>
      <c r="H2232"/>
      <c r="I2232" s="78"/>
      <c r="L2232" s="99"/>
      <c r="M2232" s="67"/>
      <c r="N2232" s="9"/>
    </row>
    <row r="2233" spans="1:14" x14ac:dyDescent="0.35">
      <c r="A2233" s="9"/>
      <c r="B2233" s="58"/>
      <c r="C2233" s="125"/>
      <c r="D2233" s="59"/>
      <c r="E2233" s="60"/>
      <c r="F2233" s="61"/>
      <c r="G2233"/>
      <c r="H2233"/>
      <c r="I2233" s="78"/>
      <c r="L2233" s="99"/>
      <c r="M2233" s="67"/>
      <c r="N2233" s="9"/>
    </row>
    <row r="2234" spans="1:14" x14ac:dyDescent="0.35">
      <c r="A2234" s="9"/>
      <c r="B2234" s="58"/>
      <c r="C2234" s="125"/>
      <c r="D2234" s="59"/>
      <c r="E2234" s="60"/>
      <c r="F2234" s="61"/>
      <c r="G2234"/>
      <c r="H2234"/>
      <c r="I2234" s="78"/>
      <c r="L2234" s="99"/>
      <c r="M2234" s="67"/>
      <c r="N2234" s="9"/>
    </row>
    <row r="2235" spans="1:14" x14ac:dyDescent="0.35">
      <c r="A2235" s="9"/>
      <c r="B2235" s="58"/>
      <c r="C2235" s="125"/>
      <c r="D2235" s="59"/>
      <c r="E2235" s="60"/>
      <c r="F2235" s="61"/>
      <c r="G2235"/>
      <c r="H2235"/>
      <c r="I2235" s="78"/>
      <c r="L2235" s="99"/>
      <c r="M2235" s="67"/>
      <c r="N2235" s="9"/>
    </row>
    <row r="2236" spans="1:14" x14ac:dyDescent="0.35">
      <c r="A2236" s="9"/>
      <c r="B2236" s="58"/>
      <c r="C2236" s="125"/>
      <c r="D2236" s="59"/>
      <c r="E2236" s="60"/>
      <c r="F2236" s="61"/>
      <c r="G2236"/>
      <c r="H2236"/>
      <c r="I2236" s="78"/>
      <c r="L2236" s="99"/>
      <c r="M2236" s="67"/>
      <c r="N2236" s="9"/>
    </row>
    <row r="2237" spans="1:14" x14ac:dyDescent="0.35">
      <c r="A2237" s="9"/>
      <c r="B2237" s="58"/>
      <c r="C2237" s="125"/>
      <c r="D2237" s="59"/>
      <c r="E2237" s="60"/>
      <c r="F2237" s="61"/>
      <c r="G2237"/>
      <c r="H2237"/>
      <c r="I2237" s="78"/>
      <c r="L2237" s="99"/>
      <c r="M2237" s="67"/>
      <c r="N2237" s="9"/>
    </row>
    <row r="2238" spans="1:14" x14ac:dyDescent="0.35">
      <c r="A2238" s="9"/>
      <c r="B2238" s="58"/>
      <c r="C2238" s="125"/>
      <c r="D2238" s="59"/>
      <c r="E2238" s="60"/>
      <c r="F2238" s="61"/>
      <c r="G2238"/>
      <c r="H2238"/>
      <c r="I2238" s="78"/>
      <c r="L2238" s="99"/>
      <c r="M2238" s="67"/>
      <c r="N2238" s="9"/>
    </row>
    <row r="2239" spans="1:14" x14ac:dyDescent="0.35">
      <c r="A2239" s="9"/>
      <c r="B2239" s="58"/>
      <c r="C2239" s="125"/>
      <c r="D2239" s="59"/>
      <c r="E2239" s="60"/>
      <c r="F2239" s="61"/>
      <c r="G2239"/>
      <c r="H2239"/>
      <c r="I2239" s="78"/>
      <c r="L2239" s="99"/>
      <c r="M2239" s="67"/>
      <c r="N2239" s="9"/>
    </row>
    <row r="2240" spans="1:14" x14ac:dyDescent="0.35">
      <c r="A2240" s="9"/>
      <c r="B2240" s="58"/>
      <c r="C2240" s="125"/>
      <c r="D2240" s="59"/>
      <c r="E2240" s="60"/>
      <c r="F2240" s="61"/>
      <c r="G2240"/>
      <c r="H2240"/>
      <c r="I2240" s="78"/>
      <c r="L2240" s="99"/>
      <c r="M2240" s="67"/>
      <c r="N2240" s="9"/>
    </row>
    <row r="2241" spans="1:14" x14ac:dyDescent="0.35">
      <c r="A2241" s="9"/>
      <c r="B2241" s="58"/>
      <c r="C2241" s="125"/>
      <c r="D2241" s="59"/>
      <c r="E2241" s="60"/>
      <c r="F2241" s="61"/>
      <c r="G2241"/>
      <c r="H2241"/>
      <c r="I2241" s="78"/>
      <c r="L2241" s="99"/>
      <c r="M2241" s="67"/>
      <c r="N2241" s="9"/>
    </row>
    <row r="2242" spans="1:14" x14ac:dyDescent="0.35">
      <c r="A2242" s="9"/>
      <c r="B2242" s="58"/>
      <c r="C2242" s="125"/>
      <c r="D2242" s="59"/>
      <c r="E2242" s="60"/>
      <c r="F2242" s="61"/>
      <c r="G2242"/>
      <c r="H2242"/>
      <c r="I2242" s="78"/>
      <c r="L2242" s="99"/>
      <c r="M2242" s="67"/>
      <c r="N2242" s="9"/>
    </row>
    <row r="2243" spans="1:14" x14ac:dyDescent="0.35">
      <c r="A2243" s="9"/>
      <c r="B2243" s="58"/>
      <c r="C2243" s="125"/>
      <c r="D2243" s="59"/>
      <c r="E2243" s="60"/>
      <c r="F2243" s="61"/>
      <c r="G2243"/>
      <c r="H2243"/>
      <c r="I2243" s="78"/>
      <c r="L2243" s="99"/>
      <c r="M2243" s="67"/>
      <c r="N2243" s="9"/>
    </row>
    <row r="2244" spans="1:14" x14ac:dyDescent="0.35">
      <c r="A2244" s="9"/>
      <c r="B2244" s="58"/>
      <c r="C2244" s="125"/>
      <c r="D2244" s="59"/>
      <c r="E2244" s="60"/>
      <c r="F2244" s="61"/>
      <c r="G2244"/>
      <c r="H2244"/>
      <c r="I2244" s="78"/>
      <c r="L2244" s="99"/>
      <c r="M2244" s="67"/>
      <c r="N2244" s="9"/>
    </row>
    <row r="2245" spans="1:14" x14ac:dyDescent="0.35">
      <c r="A2245" s="9"/>
      <c r="B2245" s="58"/>
      <c r="C2245" s="125"/>
      <c r="D2245" s="59"/>
      <c r="E2245" s="60"/>
      <c r="F2245" s="61"/>
      <c r="G2245"/>
      <c r="H2245"/>
      <c r="I2245" s="78"/>
      <c r="L2245" s="99"/>
      <c r="M2245" s="67"/>
      <c r="N2245" s="9"/>
    </row>
    <row r="2246" spans="1:14" x14ac:dyDescent="0.35">
      <c r="A2246" s="9"/>
      <c r="B2246" s="58"/>
      <c r="C2246" s="125"/>
      <c r="D2246" s="59"/>
      <c r="E2246" s="60"/>
      <c r="F2246" s="61"/>
      <c r="G2246"/>
      <c r="H2246"/>
      <c r="I2246" s="78"/>
      <c r="L2246" s="99"/>
      <c r="M2246" s="67"/>
      <c r="N2246" s="9"/>
    </row>
    <row r="2247" spans="1:14" x14ac:dyDescent="0.35">
      <c r="A2247" s="9"/>
      <c r="B2247" s="58"/>
      <c r="C2247" s="125"/>
      <c r="D2247" s="59"/>
      <c r="E2247" s="60"/>
      <c r="F2247" s="61"/>
      <c r="G2247"/>
      <c r="H2247"/>
      <c r="I2247" s="78"/>
      <c r="L2247" s="99"/>
      <c r="M2247" s="67"/>
      <c r="N2247" s="9"/>
    </row>
    <row r="2248" spans="1:14" x14ac:dyDescent="0.35">
      <c r="A2248" s="9"/>
      <c r="B2248" s="58"/>
      <c r="C2248" s="125"/>
      <c r="D2248" s="59"/>
      <c r="E2248" s="60"/>
      <c r="F2248" s="61"/>
      <c r="G2248"/>
      <c r="H2248"/>
      <c r="I2248" s="78"/>
      <c r="L2248" s="99"/>
      <c r="M2248" s="67"/>
      <c r="N2248" s="9"/>
    </row>
    <row r="2249" spans="1:14" x14ac:dyDescent="0.35">
      <c r="A2249" s="9"/>
      <c r="B2249" s="58"/>
      <c r="C2249" s="125"/>
      <c r="D2249" s="59"/>
      <c r="E2249" s="60"/>
      <c r="F2249" s="61"/>
      <c r="G2249"/>
      <c r="H2249"/>
      <c r="I2249" s="78"/>
      <c r="L2249" s="99"/>
      <c r="M2249" s="67"/>
      <c r="N2249" s="9"/>
    </row>
    <row r="2250" spans="1:14" x14ac:dyDescent="0.35">
      <c r="A2250" s="9"/>
      <c r="B2250" s="58"/>
      <c r="C2250" s="125"/>
      <c r="D2250" s="59"/>
      <c r="E2250" s="60"/>
      <c r="F2250" s="61"/>
      <c r="G2250"/>
      <c r="H2250"/>
      <c r="I2250" s="78"/>
      <c r="L2250" s="99"/>
      <c r="M2250" s="67"/>
      <c r="N2250" s="9"/>
    </row>
    <row r="2251" spans="1:14" x14ac:dyDescent="0.35">
      <c r="A2251" s="9"/>
      <c r="B2251" s="58"/>
      <c r="C2251" s="125"/>
      <c r="D2251" s="59"/>
      <c r="E2251" s="60"/>
      <c r="F2251" s="61"/>
      <c r="G2251"/>
      <c r="H2251"/>
      <c r="I2251" s="78"/>
      <c r="L2251" s="99"/>
      <c r="M2251" s="67"/>
      <c r="N2251" s="9"/>
    </row>
    <row r="2252" spans="1:14" x14ac:dyDescent="0.35">
      <c r="A2252" s="9"/>
      <c r="B2252" s="58"/>
      <c r="C2252" s="125"/>
      <c r="D2252" s="59"/>
      <c r="E2252" s="60"/>
      <c r="F2252" s="61"/>
      <c r="G2252"/>
      <c r="H2252"/>
      <c r="I2252" s="78"/>
      <c r="L2252" s="99"/>
      <c r="M2252" s="67"/>
      <c r="N2252" s="9"/>
    </row>
    <row r="2253" spans="1:14" x14ac:dyDescent="0.35">
      <c r="A2253" s="9"/>
      <c r="B2253" s="58"/>
      <c r="C2253" s="125"/>
      <c r="D2253" s="59"/>
      <c r="E2253" s="60"/>
      <c r="F2253" s="61"/>
      <c r="G2253"/>
      <c r="H2253"/>
      <c r="I2253" s="78"/>
      <c r="L2253" s="99"/>
      <c r="M2253" s="67"/>
      <c r="N2253" s="9"/>
    </row>
    <row r="2254" spans="1:14" x14ac:dyDescent="0.35">
      <c r="A2254" s="9"/>
      <c r="B2254" s="58"/>
      <c r="C2254" s="125"/>
      <c r="D2254" s="59"/>
      <c r="E2254" s="60"/>
      <c r="F2254" s="61"/>
      <c r="G2254"/>
      <c r="H2254"/>
      <c r="I2254" s="78"/>
      <c r="L2254" s="99"/>
      <c r="M2254" s="67"/>
      <c r="N2254" s="9"/>
    </row>
    <row r="2255" spans="1:14" x14ac:dyDescent="0.35">
      <c r="A2255" s="9"/>
      <c r="B2255" s="58"/>
      <c r="C2255" s="125"/>
      <c r="D2255" s="59"/>
      <c r="E2255" s="60"/>
      <c r="F2255" s="61"/>
      <c r="G2255"/>
      <c r="H2255"/>
      <c r="I2255" s="78"/>
      <c r="L2255" s="99"/>
      <c r="M2255" s="67"/>
      <c r="N2255" s="9"/>
    </row>
    <row r="2256" spans="1:14" x14ac:dyDescent="0.35">
      <c r="A2256" s="9"/>
      <c r="B2256" s="58"/>
      <c r="C2256" s="125"/>
      <c r="D2256" s="59"/>
      <c r="E2256" s="60"/>
      <c r="F2256" s="61"/>
      <c r="G2256"/>
      <c r="H2256"/>
      <c r="I2256" s="78"/>
      <c r="L2256" s="99"/>
      <c r="M2256" s="67"/>
      <c r="N2256" s="9"/>
    </row>
    <row r="2257" spans="1:14" x14ac:dyDescent="0.35">
      <c r="A2257" s="9"/>
      <c r="B2257" s="58"/>
      <c r="C2257" s="125"/>
      <c r="D2257" s="59"/>
      <c r="E2257" s="60"/>
      <c r="F2257" s="61"/>
      <c r="G2257"/>
      <c r="H2257"/>
      <c r="I2257" s="78"/>
      <c r="L2257" s="99"/>
      <c r="M2257" s="67"/>
      <c r="N2257" s="9"/>
    </row>
    <row r="2258" spans="1:14" x14ac:dyDescent="0.35">
      <c r="A2258" s="9"/>
      <c r="B2258" s="58"/>
      <c r="C2258" s="125"/>
      <c r="D2258" s="59"/>
      <c r="E2258" s="60"/>
      <c r="F2258" s="61"/>
      <c r="G2258"/>
      <c r="H2258"/>
      <c r="I2258" s="78"/>
      <c r="L2258" s="99"/>
      <c r="M2258" s="67"/>
      <c r="N2258" s="9"/>
    </row>
    <row r="2259" spans="1:14" x14ac:dyDescent="0.35">
      <c r="A2259" s="9"/>
      <c r="B2259" s="58"/>
      <c r="C2259" s="125"/>
      <c r="D2259" s="59"/>
      <c r="E2259" s="60"/>
      <c r="F2259" s="61"/>
      <c r="G2259"/>
      <c r="H2259"/>
      <c r="I2259" s="78"/>
      <c r="L2259" s="99"/>
      <c r="M2259" s="67"/>
      <c r="N2259" s="9"/>
    </row>
    <row r="2260" spans="1:14" x14ac:dyDescent="0.35">
      <c r="A2260" s="9"/>
      <c r="B2260" s="58"/>
      <c r="C2260" s="125"/>
      <c r="D2260" s="59"/>
      <c r="E2260" s="60"/>
      <c r="F2260" s="61"/>
      <c r="G2260"/>
      <c r="H2260"/>
      <c r="I2260" s="78"/>
      <c r="L2260" s="99"/>
      <c r="M2260" s="67"/>
      <c r="N2260" s="9"/>
    </row>
    <row r="2261" spans="1:14" x14ac:dyDescent="0.35">
      <c r="A2261" s="9"/>
      <c r="B2261" s="58"/>
      <c r="C2261" s="125"/>
      <c r="D2261" s="59"/>
      <c r="E2261" s="60"/>
      <c r="F2261" s="61"/>
      <c r="G2261"/>
      <c r="H2261"/>
      <c r="I2261" s="78"/>
      <c r="L2261" s="99"/>
      <c r="M2261" s="67"/>
      <c r="N2261" s="9"/>
    </row>
    <row r="2262" spans="1:14" x14ac:dyDescent="0.35">
      <c r="A2262" s="9"/>
      <c r="B2262" s="58"/>
      <c r="C2262" s="125"/>
      <c r="D2262" s="59"/>
      <c r="E2262" s="60"/>
      <c r="F2262" s="61"/>
      <c r="G2262"/>
      <c r="H2262"/>
      <c r="I2262" s="78"/>
      <c r="L2262" s="99"/>
      <c r="M2262" s="67"/>
      <c r="N2262" s="9"/>
    </row>
    <row r="2263" spans="1:14" x14ac:dyDescent="0.35">
      <c r="A2263" s="9"/>
      <c r="B2263" s="58"/>
      <c r="C2263" s="125"/>
      <c r="D2263" s="59"/>
      <c r="E2263" s="60"/>
      <c r="F2263" s="61"/>
      <c r="G2263"/>
      <c r="H2263"/>
      <c r="I2263" s="78"/>
      <c r="J2263" s="9"/>
      <c r="K2263" s="9"/>
      <c r="L2263" s="99"/>
      <c r="M2263" s="67"/>
      <c r="N2263" s="9"/>
    </row>
    <row r="2264" spans="1:14" x14ac:dyDescent="0.35">
      <c r="A2264" s="9"/>
      <c r="B2264" s="58"/>
      <c r="C2264" s="125"/>
      <c r="D2264" s="59"/>
      <c r="E2264" s="60"/>
      <c r="F2264" s="61"/>
      <c r="G2264"/>
      <c r="H2264"/>
      <c r="I2264" s="78"/>
      <c r="J2264" s="9"/>
      <c r="K2264" s="9"/>
      <c r="L2264" s="99"/>
      <c r="M2264" s="67"/>
      <c r="N2264" s="9"/>
    </row>
    <row r="2265" spans="1:14" x14ac:dyDescent="0.35">
      <c r="A2265" s="9"/>
      <c r="B2265" s="58"/>
      <c r="C2265" s="125"/>
      <c r="D2265" s="59"/>
      <c r="E2265" s="60"/>
      <c r="F2265" s="61"/>
      <c r="G2265"/>
      <c r="H2265"/>
      <c r="I2265" s="78"/>
      <c r="J2265" s="9"/>
      <c r="K2265" s="9"/>
      <c r="L2265" s="99"/>
      <c r="M2265" s="67"/>
      <c r="N2265" s="9"/>
    </row>
    <row r="2266" spans="1:14" x14ac:dyDescent="0.35">
      <c r="A2266" s="9"/>
      <c r="B2266" s="58"/>
      <c r="C2266" s="125"/>
      <c r="D2266" s="59"/>
      <c r="E2266" s="60"/>
      <c r="F2266" s="61"/>
      <c r="G2266"/>
      <c r="H2266"/>
      <c r="I2266" s="78"/>
      <c r="J2266" s="9"/>
      <c r="K2266" s="9"/>
      <c r="L2266" s="99"/>
      <c r="M2266" s="67"/>
      <c r="N2266" s="9"/>
    </row>
    <row r="2267" spans="1:14" x14ac:dyDescent="0.35">
      <c r="A2267" s="9"/>
      <c r="B2267" s="58"/>
      <c r="C2267" s="125"/>
      <c r="D2267" s="59"/>
      <c r="E2267" s="60"/>
      <c r="F2267" s="61"/>
      <c r="G2267"/>
      <c r="H2267"/>
      <c r="I2267" s="78"/>
      <c r="J2267" s="9"/>
      <c r="K2267" s="9"/>
      <c r="L2267" s="99"/>
      <c r="M2267" s="67"/>
      <c r="N2267" s="9"/>
    </row>
    <row r="2268" spans="1:14" x14ac:dyDescent="0.35">
      <c r="A2268" s="9"/>
      <c r="B2268" s="58"/>
      <c r="C2268" s="125"/>
      <c r="D2268" s="59"/>
      <c r="E2268" s="60"/>
      <c r="F2268" s="61"/>
      <c r="G2268"/>
      <c r="H2268"/>
      <c r="I2268" s="78"/>
      <c r="J2268" s="9"/>
      <c r="K2268" s="9"/>
      <c r="L2268" s="99"/>
      <c r="M2268" s="67"/>
      <c r="N2268" s="9"/>
    </row>
    <row r="2269" spans="1:14" x14ac:dyDescent="0.35">
      <c r="A2269" s="9"/>
      <c r="B2269" s="58"/>
      <c r="C2269" s="125"/>
      <c r="D2269" s="59"/>
      <c r="E2269" s="60"/>
      <c r="F2269" s="61"/>
      <c r="G2269"/>
      <c r="H2269"/>
      <c r="I2269" s="78"/>
      <c r="J2269" s="9"/>
      <c r="K2269" s="9"/>
      <c r="L2269" s="99"/>
      <c r="M2269" s="67"/>
      <c r="N2269" s="9"/>
    </row>
    <row r="2270" spans="1:14" x14ac:dyDescent="0.35">
      <c r="A2270" s="9"/>
      <c r="B2270" s="58"/>
      <c r="C2270" s="125"/>
      <c r="D2270" s="59"/>
      <c r="E2270" s="60"/>
      <c r="F2270" s="61"/>
      <c r="G2270"/>
      <c r="H2270"/>
      <c r="I2270" s="78"/>
      <c r="J2270" s="9"/>
      <c r="K2270" s="9"/>
      <c r="L2270" s="99"/>
      <c r="M2270" s="67"/>
      <c r="N2270" s="9"/>
    </row>
    <row r="2271" spans="1:14" x14ac:dyDescent="0.35">
      <c r="A2271" s="9"/>
      <c r="B2271" s="58"/>
      <c r="C2271" s="125"/>
      <c r="D2271" s="59"/>
      <c r="E2271" s="60"/>
      <c r="F2271" s="61"/>
      <c r="G2271"/>
      <c r="H2271"/>
      <c r="I2271" s="78"/>
      <c r="J2271" s="9"/>
      <c r="K2271" s="9"/>
      <c r="L2271" s="99"/>
      <c r="M2271" s="67"/>
      <c r="N2271" s="9"/>
    </row>
    <row r="2272" spans="1:14" x14ac:dyDescent="0.35">
      <c r="A2272" s="9"/>
      <c r="B2272" s="58"/>
      <c r="C2272" s="125"/>
      <c r="D2272" s="59"/>
      <c r="E2272" s="60"/>
      <c r="F2272" s="61"/>
      <c r="G2272"/>
      <c r="H2272"/>
      <c r="I2272" s="78"/>
      <c r="J2272" s="9"/>
      <c r="K2272" s="9"/>
      <c r="L2272" s="99"/>
      <c r="M2272" s="67"/>
      <c r="N2272" s="9"/>
    </row>
    <row r="2273" spans="1:14" x14ac:dyDescent="0.35">
      <c r="A2273" s="9"/>
      <c r="B2273" s="58"/>
      <c r="C2273" s="125"/>
      <c r="D2273" s="59"/>
      <c r="E2273" s="60"/>
      <c r="F2273" s="61"/>
      <c r="G2273"/>
      <c r="H2273"/>
      <c r="I2273" s="78"/>
      <c r="J2273" s="9"/>
      <c r="K2273" s="9"/>
      <c r="L2273" s="99"/>
      <c r="M2273" s="67"/>
      <c r="N2273" s="9"/>
    </row>
    <row r="2274" spans="1:14" x14ac:dyDescent="0.35">
      <c r="A2274" s="9"/>
      <c r="B2274" s="58"/>
      <c r="C2274" s="125"/>
      <c r="D2274" s="59"/>
      <c r="E2274" s="60"/>
      <c r="F2274" s="61"/>
      <c r="G2274"/>
      <c r="H2274"/>
      <c r="I2274" s="78"/>
      <c r="J2274" s="9"/>
      <c r="K2274" s="9"/>
      <c r="L2274" s="99"/>
      <c r="M2274" s="67"/>
      <c r="N2274" s="9"/>
    </row>
    <row r="2275" spans="1:14" x14ac:dyDescent="0.35">
      <c r="A2275" s="9"/>
      <c r="B2275" s="58"/>
      <c r="C2275" s="125"/>
      <c r="D2275" s="59"/>
      <c r="E2275" s="60"/>
      <c r="F2275" s="61"/>
      <c r="G2275"/>
      <c r="H2275"/>
      <c r="I2275" s="78"/>
      <c r="J2275" s="9"/>
      <c r="K2275" s="9"/>
      <c r="L2275" s="99"/>
      <c r="M2275" s="67"/>
      <c r="N2275" s="9"/>
    </row>
    <row r="2276" spans="1:14" x14ac:dyDescent="0.35">
      <c r="A2276" s="9"/>
      <c r="B2276" s="58"/>
      <c r="C2276" s="125"/>
      <c r="D2276" s="59"/>
      <c r="E2276" s="60"/>
      <c r="F2276" s="61"/>
      <c r="G2276"/>
      <c r="H2276"/>
      <c r="I2276" s="78"/>
      <c r="J2276" s="9"/>
      <c r="K2276" s="9"/>
      <c r="L2276" s="99"/>
      <c r="M2276" s="67"/>
      <c r="N2276" s="9"/>
    </row>
    <row r="2277" spans="1:14" x14ac:dyDescent="0.35">
      <c r="A2277" s="9"/>
      <c r="B2277" s="58"/>
      <c r="C2277" s="125"/>
      <c r="D2277" s="59"/>
      <c r="E2277" s="60"/>
      <c r="F2277" s="61"/>
      <c r="G2277"/>
      <c r="H2277"/>
      <c r="I2277" s="78"/>
      <c r="J2277" s="9"/>
      <c r="K2277" s="9"/>
      <c r="L2277" s="99"/>
      <c r="M2277" s="67"/>
      <c r="N2277" s="9"/>
    </row>
    <row r="2278" spans="1:14" x14ac:dyDescent="0.35">
      <c r="A2278" s="9"/>
      <c r="B2278" s="58"/>
      <c r="C2278" s="125"/>
      <c r="D2278" s="59"/>
      <c r="E2278" s="60"/>
      <c r="F2278" s="61"/>
      <c r="G2278"/>
      <c r="H2278"/>
      <c r="I2278" s="78"/>
      <c r="J2278" s="9"/>
      <c r="K2278" s="9"/>
      <c r="L2278" s="99"/>
      <c r="M2278" s="67"/>
      <c r="N2278" s="9"/>
    </row>
    <row r="2279" spans="1:14" x14ac:dyDescent="0.35">
      <c r="A2279" s="9"/>
      <c r="B2279" s="58"/>
      <c r="C2279" s="125"/>
      <c r="D2279" s="59"/>
      <c r="E2279" s="60"/>
      <c r="F2279" s="61"/>
      <c r="G2279"/>
      <c r="H2279"/>
      <c r="I2279" s="78"/>
      <c r="J2279" s="9"/>
      <c r="K2279" s="9"/>
      <c r="L2279" s="99"/>
      <c r="M2279" s="67"/>
      <c r="N2279" s="9"/>
    </row>
    <row r="2280" spans="1:14" x14ac:dyDescent="0.35">
      <c r="A2280" s="9"/>
      <c r="B2280" s="58"/>
      <c r="C2280" s="125"/>
      <c r="D2280" s="59"/>
      <c r="E2280" s="60"/>
      <c r="F2280" s="61"/>
      <c r="G2280"/>
      <c r="H2280"/>
      <c r="I2280" s="78"/>
      <c r="J2280" s="9"/>
      <c r="K2280" s="9"/>
      <c r="L2280" s="99"/>
      <c r="M2280" s="67"/>
      <c r="N2280" s="9"/>
    </row>
    <row r="2281" spans="1:14" x14ac:dyDescent="0.35">
      <c r="A2281" s="9"/>
      <c r="B2281" s="58"/>
      <c r="C2281" s="125"/>
      <c r="D2281" s="59"/>
      <c r="E2281" s="60"/>
      <c r="F2281" s="61"/>
      <c r="G2281"/>
      <c r="H2281"/>
      <c r="I2281" s="78"/>
      <c r="J2281" s="9"/>
      <c r="K2281" s="9"/>
      <c r="L2281" s="99"/>
      <c r="M2281" s="67"/>
      <c r="N2281" s="9"/>
    </row>
    <row r="2282" spans="1:14" x14ac:dyDescent="0.35">
      <c r="A2282" s="9"/>
      <c r="B2282" s="58"/>
      <c r="C2282" s="125"/>
      <c r="D2282" s="59"/>
      <c r="E2282" s="60"/>
      <c r="F2282" s="61"/>
      <c r="G2282"/>
      <c r="H2282"/>
      <c r="I2282" s="78"/>
      <c r="J2282" s="9"/>
      <c r="K2282" s="9"/>
      <c r="L2282" s="99"/>
      <c r="M2282" s="67"/>
      <c r="N2282" s="9"/>
    </row>
    <row r="2283" spans="1:14" x14ac:dyDescent="0.35">
      <c r="A2283" s="9"/>
      <c r="B2283" s="58"/>
      <c r="C2283" s="125"/>
      <c r="D2283" s="59"/>
      <c r="E2283" s="60"/>
      <c r="F2283" s="61"/>
      <c r="G2283"/>
      <c r="H2283"/>
      <c r="I2283" s="78"/>
      <c r="J2283" s="9"/>
      <c r="K2283" s="9"/>
      <c r="L2283" s="99"/>
      <c r="M2283" s="67"/>
      <c r="N2283" s="9"/>
    </row>
    <row r="2284" spans="1:14" x14ac:dyDescent="0.35">
      <c r="A2284" s="9"/>
      <c r="B2284" s="58"/>
      <c r="C2284" s="125"/>
      <c r="D2284" s="59"/>
      <c r="E2284" s="60"/>
      <c r="F2284" s="61"/>
      <c r="G2284"/>
      <c r="H2284"/>
      <c r="I2284" s="78"/>
      <c r="J2284" s="9"/>
      <c r="K2284" s="9"/>
      <c r="L2284" s="99"/>
      <c r="M2284" s="67"/>
      <c r="N2284" s="9"/>
    </row>
    <row r="2285" spans="1:14" x14ac:dyDescent="0.35">
      <c r="A2285" s="9"/>
      <c r="B2285" s="58"/>
      <c r="C2285" s="125"/>
      <c r="D2285" s="59"/>
      <c r="E2285" s="60"/>
      <c r="F2285" s="61"/>
      <c r="G2285"/>
      <c r="H2285"/>
      <c r="I2285" s="78"/>
      <c r="J2285" s="9"/>
      <c r="K2285" s="9"/>
      <c r="L2285" s="99"/>
      <c r="M2285" s="67"/>
      <c r="N2285" s="9"/>
    </row>
    <row r="2286" spans="1:14" x14ac:dyDescent="0.35">
      <c r="A2286" s="9"/>
      <c r="B2286" s="58"/>
      <c r="C2286" s="125"/>
      <c r="D2286" s="59"/>
      <c r="E2286" s="60"/>
      <c r="F2286" s="61"/>
      <c r="G2286"/>
      <c r="H2286"/>
      <c r="I2286" s="78"/>
      <c r="J2286" s="9"/>
      <c r="K2286" s="9"/>
      <c r="L2286" s="99"/>
      <c r="M2286" s="67"/>
      <c r="N2286" s="9"/>
    </row>
    <row r="2287" spans="1:14" x14ac:dyDescent="0.35">
      <c r="A2287" s="9"/>
      <c r="B2287" s="58"/>
      <c r="C2287" s="125"/>
      <c r="D2287" s="59"/>
      <c r="E2287" s="60"/>
      <c r="F2287" s="61"/>
      <c r="G2287"/>
      <c r="H2287"/>
      <c r="I2287" s="78"/>
      <c r="J2287" s="9"/>
      <c r="K2287" s="9"/>
      <c r="L2287" s="99"/>
      <c r="M2287" s="67"/>
      <c r="N2287" s="9"/>
    </row>
    <row r="2288" spans="1:14" x14ac:dyDescent="0.35">
      <c r="A2288" s="9"/>
      <c r="B2288" s="58"/>
      <c r="C2288" s="125"/>
      <c r="D2288" s="59"/>
      <c r="E2288" s="60"/>
      <c r="F2288" s="61"/>
      <c r="G2288"/>
      <c r="H2288"/>
      <c r="I2288" s="78"/>
      <c r="J2288" s="9"/>
      <c r="K2288" s="9"/>
      <c r="L2288" s="99"/>
      <c r="M2288" s="67"/>
      <c r="N2288" s="9"/>
    </row>
    <row r="2289" spans="1:14" x14ac:dyDescent="0.35">
      <c r="A2289" s="9"/>
      <c r="B2289" s="58"/>
      <c r="C2289" s="125"/>
      <c r="D2289" s="59"/>
      <c r="E2289" s="60"/>
      <c r="F2289" s="61"/>
      <c r="G2289"/>
      <c r="H2289"/>
      <c r="I2289" s="78"/>
      <c r="J2289" s="9"/>
      <c r="K2289" s="9"/>
      <c r="L2289" s="99"/>
      <c r="M2289" s="67"/>
      <c r="N2289" s="9"/>
    </row>
    <row r="2290" spans="1:14" x14ac:dyDescent="0.35">
      <c r="A2290" s="9"/>
      <c r="B2290" s="58"/>
      <c r="C2290" s="125"/>
      <c r="D2290" s="59"/>
      <c r="E2290" s="60"/>
      <c r="F2290" s="61"/>
      <c r="G2290"/>
      <c r="H2290"/>
      <c r="I2290" s="78"/>
      <c r="J2290" s="9"/>
      <c r="K2290" s="9"/>
      <c r="L2290" s="99"/>
      <c r="M2290" s="67"/>
      <c r="N2290" s="9"/>
    </row>
    <row r="2291" spans="1:14" x14ac:dyDescent="0.35">
      <c r="A2291" s="9"/>
      <c r="B2291" s="58"/>
      <c r="C2291" s="125"/>
      <c r="D2291" s="59"/>
      <c r="E2291" s="60"/>
      <c r="F2291" s="61"/>
      <c r="G2291"/>
      <c r="H2291"/>
      <c r="I2291" s="78"/>
      <c r="J2291" s="9"/>
      <c r="K2291" s="9"/>
      <c r="L2291" s="99"/>
      <c r="M2291" s="67"/>
      <c r="N2291" s="9"/>
    </row>
    <row r="2292" spans="1:14" x14ac:dyDescent="0.35">
      <c r="A2292" s="9"/>
      <c r="B2292" s="58"/>
      <c r="C2292" s="125"/>
      <c r="D2292" s="59"/>
      <c r="E2292" s="60"/>
      <c r="F2292" s="61"/>
      <c r="G2292"/>
      <c r="H2292"/>
      <c r="I2292" s="78"/>
      <c r="J2292" s="9"/>
      <c r="K2292" s="9"/>
      <c r="L2292" s="99"/>
      <c r="M2292" s="67"/>
      <c r="N2292" s="9"/>
    </row>
    <row r="2293" spans="1:14" x14ac:dyDescent="0.35">
      <c r="A2293" s="9"/>
      <c r="B2293" s="58"/>
      <c r="C2293" s="125"/>
      <c r="D2293" s="59"/>
      <c r="E2293" s="60"/>
      <c r="F2293" s="61"/>
      <c r="G2293"/>
      <c r="H2293"/>
      <c r="I2293" s="78"/>
      <c r="J2293" s="9"/>
      <c r="K2293" s="9"/>
      <c r="L2293" s="99"/>
      <c r="M2293" s="67"/>
      <c r="N2293" s="9"/>
    </row>
    <row r="2294" spans="1:14" x14ac:dyDescent="0.35">
      <c r="A2294" s="9"/>
      <c r="B2294" s="58"/>
      <c r="C2294" s="125"/>
      <c r="D2294" s="59"/>
      <c r="E2294" s="60"/>
      <c r="F2294" s="61"/>
      <c r="G2294"/>
      <c r="H2294"/>
      <c r="I2294" s="78"/>
      <c r="J2294" s="9"/>
      <c r="K2294" s="9"/>
      <c r="L2294" s="99"/>
      <c r="M2294" s="67"/>
      <c r="N2294" s="9"/>
    </row>
    <row r="2295" spans="1:14" x14ac:dyDescent="0.35">
      <c r="A2295" s="9"/>
      <c r="B2295" s="58"/>
      <c r="C2295" s="125"/>
      <c r="D2295" s="59"/>
      <c r="E2295" s="60"/>
      <c r="F2295" s="61"/>
      <c r="G2295"/>
      <c r="H2295"/>
      <c r="I2295" s="78"/>
      <c r="J2295" s="9"/>
      <c r="K2295" s="9"/>
      <c r="L2295" s="99"/>
      <c r="M2295" s="67"/>
      <c r="N2295" s="9"/>
    </row>
    <row r="2296" spans="1:14" x14ac:dyDescent="0.35">
      <c r="A2296" s="9"/>
      <c r="B2296" s="58"/>
      <c r="C2296" s="125"/>
      <c r="D2296" s="59"/>
      <c r="E2296" s="60"/>
      <c r="F2296" s="61"/>
      <c r="G2296"/>
      <c r="H2296"/>
      <c r="I2296" s="78"/>
      <c r="J2296" s="9"/>
      <c r="K2296" s="9"/>
      <c r="L2296" s="99"/>
      <c r="M2296" s="67"/>
      <c r="N2296" s="9"/>
    </row>
    <row r="2297" spans="1:14" x14ac:dyDescent="0.35">
      <c r="A2297" s="9"/>
      <c r="B2297" s="58"/>
      <c r="C2297" s="125"/>
      <c r="D2297" s="59"/>
      <c r="E2297" s="60"/>
      <c r="F2297" s="61"/>
      <c r="G2297"/>
      <c r="H2297"/>
      <c r="I2297" s="78"/>
      <c r="J2297" s="9"/>
      <c r="K2297" s="9"/>
      <c r="L2297" s="99"/>
      <c r="M2297" s="67"/>
      <c r="N2297" s="9"/>
    </row>
    <row r="2298" spans="1:14" x14ac:dyDescent="0.35">
      <c r="A2298" s="9"/>
      <c r="B2298" s="58"/>
      <c r="C2298" s="125"/>
      <c r="D2298" s="59"/>
      <c r="E2298" s="60"/>
      <c r="F2298" s="61"/>
      <c r="G2298"/>
      <c r="H2298"/>
      <c r="I2298" s="78"/>
      <c r="J2298" s="9"/>
      <c r="K2298" s="9"/>
      <c r="L2298" s="99"/>
      <c r="M2298" s="67"/>
      <c r="N2298" s="9"/>
    </row>
    <row r="2299" spans="1:14" x14ac:dyDescent="0.35">
      <c r="A2299" s="9"/>
      <c r="B2299" s="58"/>
      <c r="C2299" s="125"/>
      <c r="D2299" s="59"/>
      <c r="E2299" s="60"/>
      <c r="F2299" s="61"/>
      <c r="G2299"/>
      <c r="H2299"/>
      <c r="I2299" s="78"/>
      <c r="J2299" s="9"/>
      <c r="K2299" s="9"/>
      <c r="L2299" s="99"/>
      <c r="M2299" s="67"/>
      <c r="N2299" s="9"/>
    </row>
    <row r="2300" spans="1:14" x14ac:dyDescent="0.35">
      <c r="A2300" s="9"/>
      <c r="B2300" s="58"/>
      <c r="C2300" s="125"/>
      <c r="D2300" s="59"/>
      <c r="E2300" s="60"/>
      <c r="F2300" s="61"/>
      <c r="G2300"/>
      <c r="H2300"/>
      <c r="I2300" s="78"/>
      <c r="J2300" s="9"/>
      <c r="K2300" s="9"/>
      <c r="L2300" s="99"/>
      <c r="M2300" s="67"/>
      <c r="N2300" s="9"/>
    </row>
    <row r="2301" spans="1:14" x14ac:dyDescent="0.35">
      <c r="A2301" s="9"/>
      <c r="B2301" s="58"/>
      <c r="C2301" s="125"/>
      <c r="D2301" s="59"/>
      <c r="E2301" s="60"/>
      <c r="F2301" s="61"/>
      <c r="G2301"/>
      <c r="H2301"/>
      <c r="I2301" s="78"/>
      <c r="J2301" s="9"/>
      <c r="K2301" s="9"/>
      <c r="L2301" s="99"/>
      <c r="M2301" s="67"/>
      <c r="N2301" s="9"/>
    </row>
    <row r="2302" spans="1:14" x14ac:dyDescent="0.35">
      <c r="A2302" s="9"/>
      <c r="B2302" s="58"/>
      <c r="C2302" s="125"/>
      <c r="D2302" s="59"/>
      <c r="E2302" s="60"/>
      <c r="F2302" s="61"/>
      <c r="G2302"/>
      <c r="H2302"/>
      <c r="I2302" s="78"/>
      <c r="J2302" s="9"/>
      <c r="K2302" s="9"/>
      <c r="L2302" s="99"/>
      <c r="M2302" s="67"/>
      <c r="N2302" s="9"/>
    </row>
    <row r="2303" spans="1:14" x14ac:dyDescent="0.35">
      <c r="A2303" s="9"/>
      <c r="B2303" s="58"/>
      <c r="D2303" s="59"/>
      <c r="E2303" s="60"/>
      <c r="F2303" s="61"/>
      <c r="G2303"/>
      <c r="H2303"/>
      <c r="I2303" s="78"/>
      <c r="J2303"/>
      <c r="K2303" s="9"/>
      <c r="L2303" s="99"/>
      <c r="M2303" s="67"/>
      <c r="N2303" s="9"/>
    </row>
    <row r="2304" spans="1:14" x14ac:dyDescent="0.35">
      <c r="A2304" s="9"/>
      <c r="B2304" s="58"/>
      <c r="D2304" s="59"/>
      <c r="E2304" s="60"/>
      <c r="F2304" s="61"/>
      <c r="G2304"/>
      <c r="H2304"/>
      <c r="I2304" s="78"/>
      <c r="J2304"/>
      <c r="K2304" s="9"/>
      <c r="L2304" s="99"/>
      <c r="M2304" s="67"/>
      <c r="N2304" s="9"/>
    </row>
    <row r="2305" spans="1:14" x14ac:dyDescent="0.35">
      <c r="A2305" s="9"/>
      <c r="B2305" s="58"/>
      <c r="D2305" s="59"/>
      <c r="E2305" s="60"/>
      <c r="F2305" s="61"/>
      <c r="G2305"/>
      <c r="H2305"/>
      <c r="I2305" s="78"/>
      <c r="J2305"/>
      <c r="K2305" s="9"/>
      <c r="L2305" s="99"/>
      <c r="M2305" s="67"/>
      <c r="N2305" s="9"/>
    </row>
    <row r="2306" spans="1:14" x14ac:dyDescent="0.35">
      <c r="A2306" s="9"/>
      <c r="B2306" s="58"/>
      <c r="D2306" s="59"/>
      <c r="E2306" s="60"/>
      <c r="F2306" s="61"/>
      <c r="G2306"/>
      <c r="H2306"/>
      <c r="I2306" s="78"/>
      <c r="J2306"/>
      <c r="K2306" s="9"/>
      <c r="L2306" s="99"/>
      <c r="M2306" s="67"/>
      <c r="N2306" s="9"/>
    </row>
    <row r="2307" spans="1:14" x14ac:dyDescent="0.35">
      <c r="A2307" s="9"/>
      <c r="B2307" s="58"/>
      <c r="D2307" s="59"/>
      <c r="E2307" s="60"/>
      <c r="F2307" s="61"/>
      <c r="G2307"/>
      <c r="H2307"/>
      <c r="I2307" s="78"/>
      <c r="J2307"/>
      <c r="K2307" s="9"/>
      <c r="L2307" s="99"/>
      <c r="M2307" s="67"/>
      <c r="N2307" s="9"/>
    </row>
    <row r="2308" spans="1:14" x14ac:dyDescent="0.35">
      <c r="A2308" s="9"/>
      <c r="B2308" s="58"/>
      <c r="D2308" s="59"/>
      <c r="E2308" s="60"/>
      <c r="F2308" s="61"/>
      <c r="G2308"/>
      <c r="H2308"/>
      <c r="I2308" s="78"/>
      <c r="J2308"/>
      <c r="K2308" s="9"/>
      <c r="L2308" s="99"/>
      <c r="M2308" s="67"/>
      <c r="N2308" s="9"/>
    </row>
    <row r="2309" spans="1:14" x14ac:dyDescent="0.35">
      <c r="A2309" s="9"/>
      <c r="B2309" s="58"/>
      <c r="D2309" s="59"/>
      <c r="E2309" s="60"/>
      <c r="F2309" s="61"/>
      <c r="G2309"/>
      <c r="H2309"/>
      <c r="I2309" s="78"/>
      <c r="J2309"/>
      <c r="K2309" s="9"/>
      <c r="L2309" s="99"/>
      <c r="M2309" s="67"/>
      <c r="N2309" s="9"/>
    </row>
    <row r="2310" spans="1:14" x14ac:dyDescent="0.35">
      <c r="A2310" s="9"/>
      <c r="B2310" s="58"/>
      <c r="D2310" s="59"/>
      <c r="E2310" s="60"/>
      <c r="F2310" s="61"/>
      <c r="G2310"/>
      <c r="H2310"/>
      <c r="I2310" s="78"/>
      <c r="J2310"/>
      <c r="K2310" s="9"/>
      <c r="L2310" s="99"/>
      <c r="M2310" s="67"/>
      <c r="N2310" s="9"/>
    </row>
    <row r="2311" spans="1:14" x14ac:dyDescent="0.35">
      <c r="A2311" s="9"/>
      <c r="B2311" s="58"/>
      <c r="D2311" s="59"/>
      <c r="E2311" s="60"/>
      <c r="F2311" s="61"/>
      <c r="G2311"/>
      <c r="H2311"/>
      <c r="I2311" s="78"/>
      <c r="J2311"/>
      <c r="K2311" s="9"/>
      <c r="L2311" s="99"/>
      <c r="M2311" s="67"/>
      <c r="N2311" s="9"/>
    </row>
    <row r="2312" spans="1:14" x14ac:dyDescent="0.35">
      <c r="A2312" s="9"/>
      <c r="B2312" s="58"/>
      <c r="D2312" s="59"/>
      <c r="E2312" s="60"/>
      <c r="F2312" s="61"/>
      <c r="G2312"/>
      <c r="H2312"/>
      <c r="I2312" s="78"/>
      <c r="J2312"/>
      <c r="K2312" s="9"/>
      <c r="L2312" s="99"/>
      <c r="M2312" s="67"/>
      <c r="N2312" s="9"/>
    </row>
    <row r="2313" spans="1:14" x14ac:dyDescent="0.35">
      <c r="A2313" s="9"/>
      <c r="B2313" s="58"/>
      <c r="D2313" s="59"/>
      <c r="E2313" s="60"/>
      <c r="F2313" s="61"/>
      <c r="G2313"/>
      <c r="H2313"/>
      <c r="I2313" s="78"/>
      <c r="J2313"/>
      <c r="K2313" s="9"/>
      <c r="L2313" s="99"/>
      <c r="M2313" s="67"/>
      <c r="N2313" s="9"/>
    </row>
    <row r="2314" spans="1:14" x14ac:dyDescent="0.35">
      <c r="A2314" s="9"/>
      <c r="B2314" s="58"/>
      <c r="D2314" s="59"/>
      <c r="E2314" s="60"/>
      <c r="F2314" s="61"/>
      <c r="G2314"/>
      <c r="H2314"/>
      <c r="I2314" s="78"/>
      <c r="J2314"/>
      <c r="K2314" s="9"/>
      <c r="L2314" s="99"/>
      <c r="M2314" s="67"/>
      <c r="N2314" s="9"/>
    </row>
    <row r="2315" spans="1:14" x14ac:dyDescent="0.35">
      <c r="A2315" s="9"/>
      <c r="B2315" s="58"/>
      <c r="D2315" s="59"/>
      <c r="E2315" s="60"/>
      <c r="F2315" s="61"/>
      <c r="G2315"/>
      <c r="H2315"/>
      <c r="I2315" s="78"/>
      <c r="J2315"/>
      <c r="K2315" s="9"/>
      <c r="L2315" s="99"/>
      <c r="M2315" s="67"/>
      <c r="N2315" s="9"/>
    </row>
    <row r="2316" spans="1:14" x14ac:dyDescent="0.35">
      <c r="A2316" s="9"/>
      <c r="B2316" s="58"/>
      <c r="D2316" s="59"/>
      <c r="E2316" s="60"/>
      <c r="F2316" s="61"/>
      <c r="G2316"/>
      <c r="H2316"/>
      <c r="I2316" s="78"/>
      <c r="J2316"/>
      <c r="K2316" s="9"/>
      <c r="L2316" s="99"/>
      <c r="M2316" s="67"/>
      <c r="N2316" s="9"/>
    </row>
    <row r="2317" spans="1:14" x14ac:dyDescent="0.35">
      <c r="A2317" s="9"/>
      <c r="B2317" s="58"/>
      <c r="D2317" s="59"/>
      <c r="E2317" s="60"/>
      <c r="F2317" s="61"/>
      <c r="G2317"/>
      <c r="H2317"/>
      <c r="I2317" s="78"/>
      <c r="J2317"/>
      <c r="K2317" s="9"/>
      <c r="L2317" s="99"/>
      <c r="M2317" s="67"/>
      <c r="N2317" s="9"/>
    </row>
    <row r="2318" spans="1:14" x14ac:dyDescent="0.35">
      <c r="A2318" s="9"/>
      <c r="B2318" s="58"/>
      <c r="D2318" s="59"/>
      <c r="E2318" s="60"/>
      <c r="F2318" s="61"/>
      <c r="G2318"/>
      <c r="H2318"/>
      <c r="I2318" s="78"/>
      <c r="J2318"/>
      <c r="K2318" s="9"/>
      <c r="L2318" s="99"/>
      <c r="M2318" s="67"/>
      <c r="N2318" s="9"/>
    </row>
    <row r="2319" spans="1:14" x14ac:dyDescent="0.35">
      <c r="A2319" s="9"/>
      <c r="B2319" s="58"/>
      <c r="D2319" s="59"/>
      <c r="E2319" s="60"/>
      <c r="F2319" s="61"/>
      <c r="G2319"/>
      <c r="H2319"/>
      <c r="I2319" s="78"/>
      <c r="J2319"/>
      <c r="K2319" s="9"/>
      <c r="L2319" s="99"/>
      <c r="M2319" s="67"/>
      <c r="N2319" s="9"/>
    </row>
    <row r="2320" spans="1:14" x14ac:dyDescent="0.35">
      <c r="A2320" s="9"/>
      <c r="B2320" s="58"/>
      <c r="D2320" s="59"/>
      <c r="E2320" s="60"/>
      <c r="F2320" s="61"/>
      <c r="G2320"/>
      <c r="H2320"/>
      <c r="I2320" s="78"/>
      <c r="J2320"/>
      <c r="K2320" s="9"/>
      <c r="L2320" s="99"/>
      <c r="M2320" s="67"/>
      <c r="N2320" s="9"/>
    </row>
    <row r="2321" spans="1:14" x14ac:dyDescent="0.35">
      <c r="A2321" s="9"/>
      <c r="B2321" s="58"/>
      <c r="D2321" s="59"/>
      <c r="E2321" s="60"/>
      <c r="F2321" s="61"/>
      <c r="G2321"/>
      <c r="H2321"/>
      <c r="I2321" s="78"/>
      <c r="J2321"/>
      <c r="K2321" s="9"/>
      <c r="L2321" s="99"/>
      <c r="M2321" s="67"/>
      <c r="N2321" s="9"/>
    </row>
    <row r="2322" spans="1:14" x14ac:dyDescent="0.35">
      <c r="A2322" s="9"/>
      <c r="B2322" s="58"/>
      <c r="D2322" s="59"/>
      <c r="E2322" s="60"/>
      <c r="F2322" s="61"/>
      <c r="G2322"/>
      <c r="H2322"/>
      <c r="I2322" s="78"/>
      <c r="J2322"/>
      <c r="K2322" s="9"/>
      <c r="L2322" s="99"/>
      <c r="M2322" s="67"/>
      <c r="N2322" s="9"/>
    </row>
    <row r="2323" spans="1:14" x14ac:dyDescent="0.35">
      <c r="A2323" s="9"/>
      <c r="B2323" s="58"/>
      <c r="D2323" s="59"/>
      <c r="E2323" s="60"/>
      <c r="F2323" s="61"/>
      <c r="G2323"/>
      <c r="H2323"/>
      <c r="I2323" s="78"/>
      <c r="J2323"/>
      <c r="K2323" s="9"/>
      <c r="L2323" s="99"/>
      <c r="M2323" s="67"/>
      <c r="N2323" s="9"/>
    </row>
    <row r="2324" spans="1:14" x14ac:dyDescent="0.35">
      <c r="A2324" s="9"/>
      <c r="B2324" s="58"/>
      <c r="D2324" s="59"/>
      <c r="E2324" s="60"/>
      <c r="F2324" s="61"/>
      <c r="G2324"/>
      <c r="H2324"/>
      <c r="I2324" s="78"/>
      <c r="J2324"/>
      <c r="K2324" s="9"/>
      <c r="L2324" s="99"/>
      <c r="M2324" s="67"/>
      <c r="N2324" s="9"/>
    </row>
    <row r="2325" spans="1:14" x14ac:dyDescent="0.35">
      <c r="A2325" s="9"/>
      <c r="B2325" s="58"/>
      <c r="D2325" s="59"/>
      <c r="E2325" s="60"/>
      <c r="F2325" s="61"/>
      <c r="G2325"/>
      <c r="H2325"/>
      <c r="I2325" s="78"/>
      <c r="J2325"/>
      <c r="K2325" s="9"/>
      <c r="L2325" s="99"/>
      <c r="M2325" s="67"/>
      <c r="N2325" s="9"/>
    </row>
    <row r="2326" spans="1:14" x14ac:dyDescent="0.35">
      <c r="A2326" s="9"/>
      <c r="B2326" s="58"/>
      <c r="D2326" s="59"/>
      <c r="E2326" s="60"/>
      <c r="F2326" s="61"/>
      <c r="G2326"/>
      <c r="H2326"/>
      <c r="I2326" s="78"/>
      <c r="J2326"/>
      <c r="K2326" s="9"/>
      <c r="L2326" s="99"/>
      <c r="M2326" s="67"/>
      <c r="N2326" s="9"/>
    </row>
    <row r="2327" spans="1:14" x14ac:dyDescent="0.35">
      <c r="A2327" s="9"/>
      <c r="B2327" s="58"/>
      <c r="D2327" s="59"/>
      <c r="E2327" s="60"/>
      <c r="F2327" s="61"/>
      <c r="G2327"/>
      <c r="H2327"/>
      <c r="I2327" s="78"/>
      <c r="J2327"/>
      <c r="K2327" s="9"/>
      <c r="L2327" s="99"/>
      <c r="M2327" s="67"/>
      <c r="N2327" s="9"/>
    </row>
    <row r="2328" spans="1:14" x14ac:dyDescent="0.35">
      <c r="A2328" s="9"/>
      <c r="B2328" s="58"/>
      <c r="D2328" s="59"/>
      <c r="E2328" s="60"/>
      <c r="F2328" s="61"/>
      <c r="G2328"/>
      <c r="H2328"/>
      <c r="I2328" s="78"/>
      <c r="J2328"/>
      <c r="K2328" s="9"/>
      <c r="L2328" s="99"/>
      <c r="M2328" s="67"/>
      <c r="N2328" s="9"/>
    </row>
    <row r="2329" spans="1:14" x14ac:dyDescent="0.35">
      <c r="A2329" s="9"/>
      <c r="B2329" s="58"/>
      <c r="D2329" s="59"/>
      <c r="E2329" s="60"/>
      <c r="F2329" s="61"/>
      <c r="G2329"/>
      <c r="H2329"/>
      <c r="I2329" s="78"/>
      <c r="J2329"/>
      <c r="K2329" s="9"/>
      <c r="L2329" s="99"/>
      <c r="M2329" s="67"/>
      <c r="N2329" s="9"/>
    </row>
    <row r="2330" spans="1:14" x14ac:dyDescent="0.35">
      <c r="A2330" s="9"/>
      <c r="B2330" s="58"/>
      <c r="D2330" s="59"/>
      <c r="E2330" s="60"/>
      <c r="F2330" s="61"/>
      <c r="G2330"/>
      <c r="H2330"/>
      <c r="I2330" s="78"/>
      <c r="J2330"/>
      <c r="K2330" s="9"/>
      <c r="L2330" s="99"/>
      <c r="M2330" s="67"/>
      <c r="N2330" s="9"/>
    </row>
    <row r="2331" spans="1:14" x14ac:dyDescent="0.35">
      <c r="A2331" s="9"/>
      <c r="B2331" s="58"/>
      <c r="D2331" s="59"/>
      <c r="E2331" s="60"/>
      <c r="F2331" s="61"/>
      <c r="G2331"/>
      <c r="H2331"/>
      <c r="I2331" s="78"/>
      <c r="J2331"/>
      <c r="K2331" s="9"/>
      <c r="L2331" s="99"/>
      <c r="M2331" s="67"/>
      <c r="N2331" s="9"/>
    </row>
    <row r="2332" spans="1:14" x14ac:dyDescent="0.35">
      <c r="A2332" s="9"/>
      <c r="B2332" s="58"/>
      <c r="D2332" s="59"/>
      <c r="E2332" s="60"/>
      <c r="F2332" s="61"/>
      <c r="G2332"/>
      <c r="H2332"/>
      <c r="I2332" s="78"/>
      <c r="J2332"/>
      <c r="K2332" s="9"/>
      <c r="L2332" s="99"/>
      <c r="M2332" s="67"/>
      <c r="N2332" s="9"/>
    </row>
    <row r="2333" spans="1:14" x14ac:dyDescent="0.35">
      <c r="A2333" s="9"/>
      <c r="B2333" s="58"/>
      <c r="D2333" s="59"/>
      <c r="F2333" s="61"/>
      <c r="G2333"/>
      <c r="H2333"/>
      <c r="I2333" s="78"/>
      <c r="J2333"/>
      <c r="K2333" s="9"/>
      <c r="L2333" s="99"/>
      <c r="M2333" s="67"/>
      <c r="N2333" s="9"/>
    </row>
    <row r="2334" spans="1:14" x14ac:dyDescent="0.35">
      <c r="A2334" s="9"/>
      <c r="B2334" s="58"/>
      <c r="D2334" s="59"/>
      <c r="F2334" s="61"/>
      <c r="G2334"/>
      <c r="H2334"/>
      <c r="I2334" s="78"/>
      <c r="J2334"/>
      <c r="K2334" s="9"/>
      <c r="L2334" s="99"/>
      <c r="M2334" s="67"/>
      <c r="N2334" s="9"/>
    </row>
    <row r="2335" spans="1:14" x14ac:dyDescent="0.35">
      <c r="A2335" s="9"/>
      <c r="B2335" s="58"/>
      <c r="D2335" s="59"/>
      <c r="F2335" s="61"/>
      <c r="G2335"/>
      <c r="H2335"/>
      <c r="I2335" s="78"/>
      <c r="J2335"/>
      <c r="K2335" s="9"/>
      <c r="L2335" s="99"/>
      <c r="M2335" s="67"/>
      <c r="N2335" s="9"/>
    </row>
    <row r="2336" spans="1:14" x14ac:dyDescent="0.35">
      <c r="A2336" s="9"/>
      <c r="B2336" s="58"/>
      <c r="D2336" s="59"/>
      <c r="E2336" s="9"/>
      <c r="F2336" s="61"/>
      <c r="G2336"/>
      <c r="H2336"/>
      <c r="I2336" s="78"/>
      <c r="J2336"/>
      <c r="K2336" s="9"/>
      <c r="L2336" s="99"/>
      <c r="M2336" s="67"/>
      <c r="N2336" s="9"/>
    </row>
    <row r="2337" spans="1:14" x14ac:dyDescent="0.35">
      <c r="A2337" s="9"/>
      <c r="B2337" s="58"/>
      <c r="D2337" s="59"/>
      <c r="E2337" s="9"/>
      <c r="F2337" s="61"/>
      <c r="G2337"/>
      <c r="H2337"/>
      <c r="I2337" s="78"/>
      <c r="J2337"/>
      <c r="K2337" s="9"/>
      <c r="L2337" s="99"/>
      <c r="M2337" s="67"/>
      <c r="N2337" s="9"/>
    </row>
    <row r="2338" spans="1:14" x14ac:dyDescent="0.35">
      <c r="A2338" s="9"/>
      <c r="B2338" s="58"/>
      <c r="D2338" s="59"/>
      <c r="E2338" s="9"/>
      <c r="F2338" s="61"/>
      <c r="G2338"/>
      <c r="H2338"/>
      <c r="I2338" s="78"/>
      <c r="J2338"/>
      <c r="K2338" s="9"/>
      <c r="L2338" s="99"/>
      <c r="M2338" s="67"/>
      <c r="N2338" s="9"/>
    </row>
    <row r="2339" spans="1:14" x14ac:dyDescent="0.35">
      <c r="A2339" s="9"/>
      <c r="B2339" s="58"/>
      <c r="D2339" s="59"/>
      <c r="E2339" s="9"/>
      <c r="F2339" s="61"/>
      <c r="G2339"/>
      <c r="H2339"/>
      <c r="I2339" s="78"/>
      <c r="J2339"/>
      <c r="K2339" s="9"/>
      <c r="L2339" s="99"/>
      <c r="M2339" s="67"/>
      <c r="N2339" s="9"/>
    </row>
    <row r="2340" spans="1:14" x14ac:dyDescent="0.35">
      <c r="A2340" s="9"/>
      <c r="B2340" s="58"/>
      <c r="D2340" s="59"/>
      <c r="E2340" s="9"/>
      <c r="F2340" s="61"/>
      <c r="G2340"/>
      <c r="H2340"/>
      <c r="I2340" s="78"/>
      <c r="J2340"/>
      <c r="K2340" s="9"/>
      <c r="L2340" s="99"/>
      <c r="M2340" s="67"/>
      <c r="N2340" s="9"/>
    </row>
    <row r="2341" spans="1:14" x14ac:dyDescent="0.35">
      <c r="A2341" s="9"/>
      <c r="B2341" s="58"/>
      <c r="D2341" s="59"/>
      <c r="E2341" s="9"/>
      <c r="F2341" s="61"/>
      <c r="G2341"/>
      <c r="H2341"/>
      <c r="I2341" s="78"/>
      <c r="J2341"/>
      <c r="K2341" s="9"/>
      <c r="L2341" s="99"/>
      <c r="M2341" s="67"/>
      <c r="N2341" s="9"/>
    </row>
    <row r="2342" spans="1:14" x14ac:dyDescent="0.35">
      <c r="A2342" s="9"/>
      <c r="B2342" s="58"/>
      <c r="D2342" s="59"/>
      <c r="E2342" s="9"/>
      <c r="F2342" s="61"/>
      <c r="G2342"/>
      <c r="H2342"/>
      <c r="I2342" s="78"/>
      <c r="J2342"/>
      <c r="K2342" s="9"/>
      <c r="L2342" s="99"/>
      <c r="M2342" s="67"/>
      <c r="N2342" s="9"/>
    </row>
    <row r="2343" spans="1:14" x14ac:dyDescent="0.35">
      <c r="A2343" s="9"/>
      <c r="B2343" s="58"/>
      <c r="D2343" s="59"/>
      <c r="E2343" s="9"/>
      <c r="F2343" s="61"/>
      <c r="G2343"/>
      <c r="H2343"/>
      <c r="I2343" s="78"/>
      <c r="J2343"/>
      <c r="K2343" s="9"/>
      <c r="L2343" s="99"/>
      <c r="M2343" s="67"/>
      <c r="N2343" s="9"/>
    </row>
    <row r="2344" spans="1:14" x14ac:dyDescent="0.35">
      <c r="A2344" s="9"/>
      <c r="B2344" s="58"/>
      <c r="D2344" s="59"/>
      <c r="E2344" s="9"/>
      <c r="F2344" s="61"/>
      <c r="G2344"/>
      <c r="H2344"/>
      <c r="I2344" s="78"/>
      <c r="J2344"/>
      <c r="K2344" s="9"/>
      <c r="L2344" s="99"/>
      <c r="M2344" s="67"/>
      <c r="N2344" s="9"/>
    </row>
    <row r="2345" spans="1:14" x14ac:dyDescent="0.35">
      <c r="A2345" s="9"/>
      <c r="B2345" s="58"/>
      <c r="D2345" s="59"/>
      <c r="E2345" s="9"/>
      <c r="F2345" s="61"/>
      <c r="G2345"/>
      <c r="H2345"/>
      <c r="I2345" s="78"/>
      <c r="J2345"/>
      <c r="K2345" s="9"/>
      <c r="L2345" s="99"/>
      <c r="M2345" s="67"/>
      <c r="N2345" s="9"/>
    </row>
    <row r="2346" spans="1:14" x14ac:dyDescent="0.35">
      <c r="A2346" s="9"/>
      <c r="B2346" s="58"/>
      <c r="D2346" s="59"/>
      <c r="E2346" s="9"/>
      <c r="F2346" s="61"/>
      <c r="G2346"/>
      <c r="H2346"/>
      <c r="I2346" s="78"/>
      <c r="J2346"/>
      <c r="K2346" s="9"/>
      <c r="L2346" s="99"/>
      <c r="M2346" s="67"/>
      <c r="N2346" s="9"/>
    </row>
    <row r="2347" spans="1:14" x14ac:dyDescent="0.35">
      <c r="A2347" s="9"/>
      <c r="B2347" s="58"/>
      <c r="D2347" s="59"/>
      <c r="E2347" s="9"/>
      <c r="F2347" s="61"/>
      <c r="G2347"/>
      <c r="H2347"/>
      <c r="I2347" s="78"/>
      <c r="J2347"/>
      <c r="K2347" s="9"/>
      <c r="L2347" s="99"/>
      <c r="M2347" s="67"/>
      <c r="N2347" s="9"/>
    </row>
    <row r="2348" spans="1:14" x14ac:dyDescent="0.35">
      <c r="A2348" s="9"/>
      <c r="B2348" s="58"/>
      <c r="D2348" s="59"/>
      <c r="E2348" s="9"/>
      <c r="F2348" s="61"/>
      <c r="G2348"/>
      <c r="H2348"/>
      <c r="I2348" s="78"/>
      <c r="J2348"/>
      <c r="K2348" s="9"/>
      <c r="L2348" s="99"/>
      <c r="M2348" s="67"/>
      <c r="N2348" s="9"/>
    </row>
    <row r="2349" spans="1:14" x14ac:dyDescent="0.35">
      <c r="A2349" s="9"/>
      <c r="B2349" s="58"/>
      <c r="D2349" s="59"/>
      <c r="E2349" s="9"/>
      <c r="F2349" s="61"/>
      <c r="G2349"/>
      <c r="H2349"/>
      <c r="I2349" s="78"/>
      <c r="J2349"/>
      <c r="K2349" s="9"/>
      <c r="L2349" s="99"/>
      <c r="M2349" s="67"/>
      <c r="N2349" s="9"/>
    </row>
    <row r="2350" spans="1:14" x14ac:dyDescent="0.35">
      <c r="A2350" s="9"/>
      <c r="B2350" s="58"/>
      <c r="D2350" s="59"/>
      <c r="E2350" s="9"/>
      <c r="F2350" s="61"/>
      <c r="G2350"/>
      <c r="H2350"/>
      <c r="I2350" s="78"/>
      <c r="J2350"/>
      <c r="K2350" s="9"/>
      <c r="L2350" s="99"/>
      <c r="M2350" s="67"/>
      <c r="N2350" s="9"/>
    </row>
    <row r="2351" spans="1:14" x14ac:dyDescent="0.35">
      <c r="A2351" s="9"/>
      <c r="B2351" s="58"/>
      <c r="F2351" s="61"/>
      <c r="G2351"/>
      <c r="H2351"/>
      <c r="I2351" s="78"/>
      <c r="J2351"/>
      <c r="K2351" s="9"/>
      <c r="L2351" s="99"/>
      <c r="M2351" s="67"/>
      <c r="N2351" s="9"/>
    </row>
    <row r="2352" spans="1:14" x14ac:dyDescent="0.35">
      <c r="A2352" s="9"/>
      <c r="B2352" s="58"/>
      <c r="F2352" s="61"/>
      <c r="G2352"/>
      <c r="H2352"/>
      <c r="I2352" s="78"/>
      <c r="J2352"/>
      <c r="K2352" s="9"/>
      <c r="L2352" s="99"/>
      <c r="M2352" s="67"/>
      <c r="N2352" s="9"/>
    </row>
    <row r="2353" spans="1:14" x14ac:dyDescent="0.35">
      <c r="A2353" s="9"/>
      <c r="B2353" s="58"/>
      <c r="F2353" s="61"/>
      <c r="G2353"/>
      <c r="H2353"/>
      <c r="I2353" s="78"/>
      <c r="J2353"/>
      <c r="K2353" s="9"/>
      <c r="L2353" s="99"/>
      <c r="M2353" s="67"/>
      <c r="N2353" s="9"/>
    </row>
    <row r="2354" spans="1:14" x14ac:dyDescent="0.35">
      <c r="A2354" s="9"/>
      <c r="B2354" s="58"/>
      <c r="F2354" s="61"/>
      <c r="G2354"/>
      <c r="H2354"/>
      <c r="I2354" s="78"/>
      <c r="J2354"/>
      <c r="K2354" s="9"/>
      <c r="L2354" s="99"/>
      <c r="M2354" s="67"/>
      <c r="N2354" s="9"/>
    </row>
    <row r="2355" spans="1:14" x14ac:dyDescent="0.35">
      <c r="A2355" s="9"/>
      <c r="B2355" s="58"/>
      <c r="F2355" s="61"/>
      <c r="G2355"/>
      <c r="H2355"/>
      <c r="I2355" s="78"/>
      <c r="J2355"/>
      <c r="K2355" s="9"/>
      <c r="L2355" s="99"/>
      <c r="M2355" s="67"/>
      <c r="N2355" s="9"/>
    </row>
    <row r="2356" spans="1:14" x14ac:dyDescent="0.35">
      <c r="A2356" s="9"/>
      <c r="B2356" s="58"/>
      <c r="F2356" s="61"/>
      <c r="G2356"/>
      <c r="H2356"/>
      <c r="I2356" s="78"/>
      <c r="J2356"/>
      <c r="K2356" s="9"/>
      <c r="L2356" s="99"/>
      <c r="M2356" s="67"/>
      <c r="N2356" s="9"/>
    </row>
    <row r="2357" spans="1:14" x14ac:dyDescent="0.35">
      <c r="F2357" s="61"/>
      <c r="G2357"/>
      <c r="H2357"/>
      <c r="I2357" s="78"/>
      <c r="J2357"/>
      <c r="L2357" s="99"/>
      <c r="M2357" s="67"/>
    </row>
    <row r="2358" spans="1:14" x14ac:dyDescent="0.35">
      <c r="F2358" s="61"/>
      <c r="G2358"/>
      <c r="H2358"/>
      <c r="I2358" s="78"/>
      <c r="J2358"/>
      <c r="L2358" s="99"/>
      <c r="M2358" s="67"/>
    </row>
    <row r="2359" spans="1:14" x14ac:dyDescent="0.35">
      <c r="F2359" s="61"/>
      <c r="G2359"/>
      <c r="H2359"/>
      <c r="I2359" s="78"/>
      <c r="J2359"/>
      <c r="L2359" s="99"/>
      <c r="M2359" s="67"/>
    </row>
    <row r="2360" spans="1:14" x14ac:dyDescent="0.35">
      <c r="A2360" s="9"/>
      <c r="F2360" s="61"/>
      <c r="G2360"/>
      <c r="H2360"/>
      <c r="I2360" s="78"/>
      <c r="J2360"/>
      <c r="K2360" s="9"/>
      <c r="L2360" s="99"/>
      <c r="M2360" s="67"/>
      <c r="N2360" s="9"/>
    </row>
    <row r="2361" spans="1:14" x14ac:dyDescent="0.35">
      <c r="F2361" s="61"/>
      <c r="G2361"/>
      <c r="H2361"/>
      <c r="I2361" s="78"/>
      <c r="J2361"/>
      <c r="L2361" s="99"/>
      <c r="M2361" s="67"/>
    </row>
    <row r="2362" spans="1:14" x14ac:dyDescent="0.35">
      <c r="F2362" s="61"/>
      <c r="G2362"/>
      <c r="H2362"/>
      <c r="I2362" s="78"/>
      <c r="J2362"/>
      <c r="L2362" s="99"/>
      <c r="M2362" s="67"/>
    </row>
    <row r="2363" spans="1:14" x14ac:dyDescent="0.35">
      <c r="F2363" s="128"/>
      <c r="G2363"/>
      <c r="H2363"/>
      <c r="I2363" s="78"/>
      <c r="J2363"/>
      <c r="L2363" s="99"/>
      <c r="M2363" s="67"/>
    </row>
    <row r="2364" spans="1:14" x14ac:dyDescent="0.35">
      <c r="L2364" s="99"/>
      <c r="M2364" s="67"/>
    </row>
    <row r="2365" spans="1:14" x14ac:dyDescent="0.35">
      <c r="L2365" s="99"/>
      <c r="M2365" s="67"/>
    </row>
    <row r="2366" spans="1:14" x14ac:dyDescent="0.35">
      <c r="L2366" s="99"/>
      <c r="M2366" s="67"/>
    </row>
    <row r="2367" spans="1:14" x14ac:dyDescent="0.35">
      <c r="L2367" s="99"/>
      <c r="M2367" s="67"/>
    </row>
    <row r="2368" spans="1:14" x14ac:dyDescent="0.35">
      <c r="L2368" s="99"/>
      <c r="M2368" s="67"/>
    </row>
    <row r="2369" spans="12:13" x14ac:dyDescent="0.35">
      <c r="L2369" s="99"/>
      <c r="M2369" s="67"/>
    </row>
    <row r="2370" spans="12:13" x14ac:dyDescent="0.35">
      <c r="L2370" s="99"/>
      <c r="M2370" s="67"/>
    </row>
    <row r="2371" spans="12:13" x14ac:dyDescent="0.35">
      <c r="L2371" s="99"/>
      <c r="M2371" s="67"/>
    </row>
    <row r="2372" spans="12:13" x14ac:dyDescent="0.35">
      <c r="L2372" s="99"/>
      <c r="M2372" s="67"/>
    </row>
  </sheetData>
  <mergeCells count="5">
    <mergeCell ref="I25:I26"/>
    <mergeCell ref="J25:J26"/>
    <mergeCell ref="L25:L26"/>
    <mergeCell ref="M25:M26"/>
    <mergeCell ref="N25:N26"/>
  </mergeCells>
  <dataValidations count="1">
    <dataValidation type="list" allowBlank="1" showInputMessage="1" showErrorMessage="1" sqref="L566:L606 L608:L713">
      <formula1>INDIRECT(K566)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91"/>
  <sheetViews>
    <sheetView tabSelected="1" topLeftCell="D13" workbookViewId="0">
      <selection activeCell="H10" sqref="H10"/>
    </sheetView>
  </sheetViews>
  <sheetFormatPr defaultColWidth="9.1796875" defaultRowHeight="13" x14ac:dyDescent="0.3"/>
  <cols>
    <col min="1" max="1" width="4.453125" style="145" customWidth="1"/>
    <col min="2" max="2" width="7.26953125" style="145" bestFit="1" customWidth="1"/>
    <col min="3" max="3" width="13" style="284" customWidth="1"/>
    <col min="4" max="4" width="10.1796875" style="284" bestFit="1" customWidth="1"/>
    <col min="5" max="5" width="7.81640625" style="238" bestFit="1" customWidth="1"/>
    <col min="6" max="6" width="7.26953125" style="257" customWidth="1"/>
    <col min="7" max="7" width="17.81640625" style="285" customWidth="1"/>
    <col min="8" max="8" width="91.81640625" style="285" customWidth="1"/>
    <col min="9" max="9" width="18.7265625" style="240" bestFit="1" customWidth="1"/>
    <col min="10" max="10" width="14.81640625" style="286" customWidth="1"/>
    <col min="11" max="11" width="14.26953125" style="240" customWidth="1"/>
    <col min="12" max="12" width="14.81640625" style="240" customWidth="1"/>
    <col min="13" max="13" width="16.7265625" style="151" customWidth="1"/>
    <col min="14" max="14" width="29.1796875" style="145" customWidth="1"/>
    <col min="15" max="15" width="15.7265625" style="151" customWidth="1"/>
    <col min="16" max="16" width="1.7265625" style="151" customWidth="1"/>
    <col min="17" max="17" width="12.1796875" style="151" customWidth="1"/>
    <col min="18" max="18" width="17.453125" style="151" customWidth="1"/>
    <col min="19" max="16384" width="9.1796875" style="151"/>
  </cols>
  <sheetData>
    <row r="1" spans="1:25" ht="23.5" x14ac:dyDescent="0.55000000000000004">
      <c r="A1" s="144" t="str">
        <f>'[1]DASHBOARD '!F3</f>
        <v>PYRICH GROUP LIMITED</v>
      </c>
      <c r="C1" s="145"/>
      <c r="D1" s="145"/>
      <c r="E1" s="145"/>
      <c r="F1" s="146"/>
      <c r="G1" s="147"/>
      <c r="H1" s="147"/>
      <c r="I1" s="145"/>
      <c r="J1" s="145"/>
      <c r="K1" s="148"/>
      <c r="L1" s="148"/>
      <c r="M1" s="149"/>
      <c r="O1" s="145"/>
      <c r="P1" s="145"/>
      <c r="Q1" s="150"/>
      <c r="R1" s="150"/>
      <c r="S1" s="150"/>
      <c r="T1" s="150"/>
      <c r="U1" s="150"/>
      <c r="V1" s="150"/>
      <c r="W1" s="150"/>
      <c r="X1" s="150"/>
      <c r="Y1" s="150"/>
    </row>
    <row r="2" spans="1:25" ht="18.5" x14ac:dyDescent="0.45">
      <c r="A2" s="152" t="s">
        <v>0</v>
      </c>
      <c r="C2" s="145"/>
      <c r="D2" s="145"/>
      <c r="E2" s="145"/>
      <c r="F2" s="146"/>
      <c r="G2" s="147"/>
      <c r="H2" s="147"/>
      <c r="I2" s="145"/>
      <c r="J2" s="145"/>
      <c r="K2" s="148"/>
      <c r="L2" s="147"/>
      <c r="M2" s="147"/>
      <c r="O2" s="145"/>
      <c r="P2" s="145"/>
      <c r="Q2" s="153"/>
      <c r="R2" s="150"/>
      <c r="S2" s="150"/>
      <c r="T2" s="150"/>
      <c r="U2" s="150"/>
      <c r="V2" s="150"/>
      <c r="W2" s="150"/>
      <c r="X2" s="150"/>
      <c r="Y2" s="150"/>
    </row>
    <row r="3" spans="1:25" x14ac:dyDescent="0.3">
      <c r="A3" s="147"/>
      <c r="B3" s="147"/>
      <c r="C3" s="147"/>
      <c r="D3" s="147"/>
      <c r="E3" s="147"/>
      <c r="F3" s="154"/>
      <c r="G3" s="147"/>
      <c r="H3" s="147"/>
      <c r="I3" s="145"/>
      <c r="J3" s="145"/>
      <c r="K3" s="148"/>
      <c r="L3" s="147"/>
      <c r="M3" s="147"/>
      <c r="O3" s="145"/>
      <c r="P3" s="145"/>
      <c r="Q3" s="150"/>
      <c r="R3" s="150"/>
      <c r="S3" s="150"/>
      <c r="T3" s="150"/>
      <c r="U3" s="150"/>
      <c r="V3" s="150"/>
      <c r="W3" s="150"/>
      <c r="X3" s="150"/>
      <c r="Y3" s="150"/>
    </row>
    <row r="4" spans="1:25" ht="21" x14ac:dyDescent="0.5">
      <c r="A4" s="155"/>
      <c r="C4" s="145"/>
      <c r="D4" s="145"/>
      <c r="E4" s="145"/>
      <c r="F4" s="146"/>
      <c r="G4" s="147"/>
      <c r="H4" s="147"/>
      <c r="I4" s="145"/>
      <c r="J4" s="145"/>
      <c r="K4" s="148"/>
      <c r="L4" s="148"/>
      <c r="M4" s="145"/>
      <c r="O4" s="145"/>
      <c r="P4" s="145"/>
      <c r="Q4" s="150"/>
      <c r="R4" s="150"/>
      <c r="S4" s="150"/>
      <c r="T4" s="150"/>
      <c r="U4" s="150"/>
      <c r="V4" s="150"/>
      <c r="W4" s="150"/>
      <c r="X4" s="150"/>
      <c r="Y4" s="150"/>
    </row>
    <row r="5" spans="1:25" ht="21" x14ac:dyDescent="0.5">
      <c r="A5" s="155"/>
      <c r="C5" s="145"/>
      <c r="D5" s="145"/>
      <c r="E5" s="145"/>
      <c r="F5" s="146"/>
      <c r="G5" s="147"/>
      <c r="H5" s="156">
        <f t="shared" ref="H5:M5" si="0">SUM(H7:H11)</f>
        <v>0</v>
      </c>
      <c r="I5" s="157">
        <f t="shared" si="0"/>
        <v>0</v>
      </c>
      <c r="J5" s="157">
        <f t="shared" si="0"/>
        <v>0</v>
      </c>
      <c r="K5" s="156">
        <f t="shared" si="0"/>
        <v>0</v>
      </c>
      <c r="L5" s="156">
        <f t="shared" si="0"/>
        <v>0</v>
      </c>
      <c r="M5" s="156">
        <f t="shared" si="0"/>
        <v>0</v>
      </c>
      <c r="O5" s="145"/>
      <c r="P5" s="145"/>
      <c r="Q5" s="150"/>
      <c r="R5" s="150"/>
      <c r="S5" s="150"/>
      <c r="T5" s="150"/>
      <c r="U5" s="150"/>
      <c r="V5" s="150"/>
      <c r="W5" s="150"/>
      <c r="X5" s="150"/>
      <c r="Y5" s="150"/>
    </row>
    <row r="6" spans="1:25" ht="18.5" x14ac:dyDescent="0.45">
      <c r="C6" s="145"/>
      <c r="D6" s="145"/>
      <c r="E6" s="145"/>
      <c r="F6" s="146"/>
      <c r="G6" s="158">
        <f>H5+I5+J5+K5+L5+M5</f>
        <v>0</v>
      </c>
      <c r="H6" s="159" t="s">
        <v>1</v>
      </c>
      <c r="I6" s="160" t="s">
        <v>2</v>
      </c>
      <c r="J6" s="160" t="s">
        <v>3</v>
      </c>
      <c r="K6" s="160" t="s">
        <v>4</v>
      </c>
      <c r="L6" s="160" t="s">
        <v>5</v>
      </c>
      <c r="M6" s="160" t="s">
        <v>6</v>
      </c>
      <c r="O6" s="145"/>
      <c r="P6" s="161"/>
      <c r="Q6" s="150"/>
      <c r="R6" s="150"/>
      <c r="S6" s="150"/>
      <c r="T6" s="150"/>
      <c r="U6" s="150"/>
      <c r="V6" s="150"/>
      <c r="W6" s="150"/>
      <c r="X6" s="150"/>
      <c r="Y6" s="150"/>
    </row>
    <row r="7" spans="1:25" ht="18.5" x14ac:dyDescent="0.45">
      <c r="C7" s="145"/>
      <c r="D7" s="162"/>
      <c r="E7" s="145"/>
      <c r="F7" s="146"/>
      <c r="G7" s="163" t="s">
        <v>7</v>
      </c>
      <c r="H7" s="164">
        <f>SUMIFS($I$27:$I$492775,$E$27:$E$492775,1,$D$27:$D$492775,$H$6)</f>
        <v>0</v>
      </c>
      <c r="I7" s="165">
        <f>SUMIFS($I$27:$I$492775,$E$27:$E$492775,1,$D$27:$D$492775,$I$6)</f>
        <v>0</v>
      </c>
      <c r="J7" s="165">
        <f>SUMIFS($I$27:$I$492775,$E$27:$E$492775,1,$D$27:$D$492775,$J$6)</f>
        <v>0</v>
      </c>
      <c r="K7" s="166">
        <f>SUMIFS($I$27:$I$492775,$E$27:$E$492775,1,$D$27:$D$492775,$K$6)</f>
        <v>0</v>
      </c>
      <c r="L7" s="166">
        <f>SUMIFS($I$27:$I$492775,$E$27:$E$492775,1,$D$27:$D$492775,$L$6)</f>
        <v>0</v>
      </c>
      <c r="M7" s="166">
        <f>SUMIFS($I$27:$I$492775,$E$27:$E$492775,1,$D$27:$D$492775,$M$6)</f>
        <v>0</v>
      </c>
      <c r="O7" s="145"/>
      <c r="P7" s="161"/>
      <c r="Q7" s="150"/>
      <c r="R7" s="150"/>
      <c r="S7" s="150"/>
      <c r="T7" s="150"/>
      <c r="U7" s="150"/>
      <c r="V7" s="150"/>
      <c r="W7" s="150"/>
      <c r="X7" s="150"/>
      <c r="Y7" s="150"/>
    </row>
    <row r="8" spans="1:25" s="161" customFormat="1" ht="26" x14ac:dyDescent="0.6">
      <c r="C8" s="167"/>
      <c r="E8" s="168"/>
      <c r="F8" s="169"/>
      <c r="G8" s="163" t="s">
        <v>8</v>
      </c>
      <c r="H8" s="164">
        <f>SUMIFS($I$27:$I$492775,$E$27:$E$492775,2,$D$27:$D$492775,$H$6)</f>
        <v>0</v>
      </c>
      <c r="I8" s="165">
        <f>SUMIFS($I$27:$I$492775,$E$27:$E$492775,2,$D$27:$D$492775,$I$6)</f>
        <v>0</v>
      </c>
      <c r="J8" s="165">
        <f>SUMIFS($I$27:$I$492775,$E$27:$E$492775,2,$D$27:$D$492775,$J$6)</f>
        <v>0</v>
      </c>
      <c r="K8" s="166">
        <f>SUMIFS($I$27:$I$492775,$E$27:$E$492775,2,$D$27:$D$492775,$K$6)</f>
        <v>0</v>
      </c>
      <c r="L8" s="166">
        <f>SUMIFS($I$27:$I$492775,$E$27:$E$492775,2,$D$27:$D$492775,$L$6)</f>
        <v>0</v>
      </c>
      <c r="M8" s="166">
        <f>SUMIFS($I$27:$I$492775,$E$27:$E$492775,2,$D$27:$D$492775,$M$6)</f>
        <v>0</v>
      </c>
      <c r="Q8" s="170"/>
      <c r="R8" s="170"/>
      <c r="S8" s="170"/>
      <c r="T8" s="170"/>
      <c r="U8" s="170"/>
      <c r="V8" s="170"/>
      <c r="W8" s="170"/>
      <c r="X8" s="170"/>
      <c r="Y8" s="170"/>
    </row>
    <row r="9" spans="1:25" s="161" customFormat="1" ht="18.5" x14ac:dyDescent="0.45">
      <c r="E9" s="168"/>
      <c r="F9" s="169"/>
      <c r="G9" s="163" t="s">
        <v>9</v>
      </c>
      <c r="H9" s="164">
        <f>SUMIFS($I$27:$I$492775,$E$27:$E$492775,3,$D$27:$D$492775,$H$6)</f>
        <v>0</v>
      </c>
      <c r="I9" s="165">
        <f>SUMIFS($I$27:$I$492775,$E$27:$E$492775,3,$D$27:$D$492775,$I$6)</f>
        <v>0</v>
      </c>
      <c r="J9" s="165">
        <f>SUMIFS($I$27:$I$492775,$E$27:$E$492775,3,$D$27:$D$492775,$J$6)</f>
        <v>0</v>
      </c>
      <c r="K9" s="166">
        <f>SUMIFS($I$27:$I$492775,$E$27:$E$492775,3,$D$27:$D$492775,$K$6)</f>
        <v>0</v>
      </c>
      <c r="L9" s="166">
        <f>SUMIFS($I$27:$I$492775,$E$27:$E$492775,3,$D$27:$D$492775,$L$6)</f>
        <v>0</v>
      </c>
      <c r="M9" s="166">
        <f>SUMIFS($I$27:$I$492775,$E$27:$E$492775,3,$D$27:$D$492775,$M$6)</f>
        <v>0</v>
      </c>
      <c r="Q9" s="170"/>
      <c r="R9" s="170"/>
      <c r="S9" s="170"/>
      <c r="T9" s="170"/>
      <c r="U9" s="170"/>
      <c r="V9" s="170"/>
      <c r="W9" s="170"/>
      <c r="X9" s="170"/>
      <c r="Y9" s="170"/>
    </row>
    <row r="10" spans="1:25" s="161" customFormat="1" ht="18.5" x14ac:dyDescent="0.45">
      <c r="B10" s="171"/>
      <c r="C10" s="171"/>
      <c r="D10" s="171"/>
      <c r="E10" s="171"/>
      <c r="F10" s="172"/>
      <c r="G10" s="163" t="s">
        <v>10</v>
      </c>
      <c r="H10" s="164">
        <f>SUMIFS($I$27:$I$492775,$E$27:$E$492775,4,$D$27:$D$492775,$H$6)</f>
        <v>0</v>
      </c>
      <c r="I10" s="165">
        <f>SUMIFS($I$27:$I$492775,$E$27:$E$492775,4,$D$27:$D$492775,$I$6)</f>
        <v>0</v>
      </c>
      <c r="J10" s="165">
        <f>SUMIFS($I$27:$I$492775,$E$27:$E$492775,4,$D$27:$D$492775,$J$6)</f>
        <v>0</v>
      </c>
      <c r="K10" s="166">
        <f>SUMIFS($I$27:$I$492775,$E$27:$E$492775,4,$D$27:$D$492775,$K$6)</f>
        <v>0</v>
      </c>
      <c r="L10" s="166">
        <f>SUMIFS($I$27:$I$492775,$E$27:$E$492775,4,$D$27:$D$492775,$L$6)</f>
        <v>0</v>
      </c>
      <c r="M10" s="166">
        <f>SUMIFS($I$27:$I$492775,$E$27:$E$492775,4,$D$27:$D$492775,$M$6)</f>
        <v>0</v>
      </c>
      <c r="Q10" s="170"/>
      <c r="R10" s="170"/>
      <c r="S10" s="170"/>
      <c r="T10" s="170"/>
      <c r="U10" s="170"/>
      <c r="V10" s="170"/>
      <c r="W10" s="170"/>
      <c r="X10" s="170"/>
      <c r="Y10" s="170"/>
    </row>
    <row r="11" spans="1:25" s="161" customFormat="1" ht="18.5" x14ac:dyDescent="0.45">
      <c r="B11" s="171"/>
      <c r="C11" s="171"/>
      <c r="D11" s="171"/>
      <c r="E11" s="171"/>
      <c r="F11" s="172"/>
      <c r="G11" s="163" t="s">
        <v>11</v>
      </c>
      <c r="H11" s="164">
        <f>SUMIFS($I$27:$I$492775,$E$27:$E$492775,5,$D$27:$D$492775,$H$6)</f>
        <v>0</v>
      </c>
      <c r="I11" s="165">
        <f>SUMIFS($I$27:$I$492775,$E$27:$E$492775,5,$D$27:$D$492775,$I$6)</f>
        <v>0</v>
      </c>
      <c r="J11" s="165">
        <f>SUMIFS($I$27:$I$492775,$E$27:$E$492775,5,$D$27:$D$492775,$J$6)</f>
        <v>0</v>
      </c>
      <c r="K11" s="166">
        <f>SUMIFS($I$27:$I$492775,$E$27:$E$492775,5,$D$27:$D$492775,$K$6)</f>
        <v>0</v>
      </c>
      <c r="L11" s="166">
        <f>SUMIFS($I$27:$I$492775,$E$27:$E$492775,5,$D$27:$D$492775,$L$6)</f>
        <v>0</v>
      </c>
      <c r="M11" s="166">
        <f>SUMIFS($I$27:$I$492775,$E$27:$E$492775,5,$D$27:$D$492775,$M$6)</f>
        <v>0</v>
      </c>
      <c r="Q11" s="170"/>
      <c r="R11" s="170"/>
      <c r="S11" s="170"/>
      <c r="T11" s="170"/>
      <c r="U11" s="170"/>
      <c r="V11" s="170"/>
      <c r="W11" s="170"/>
      <c r="X11" s="170"/>
      <c r="Y11" s="170"/>
    </row>
    <row r="12" spans="1:25" s="161" customFormat="1" ht="18.5" x14ac:dyDescent="0.45">
      <c r="B12" s="171"/>
      <c r="C12" s="171"/>
      <c r="D12" s="171"/>
      <c r="E12" s="171"/>
      <c r="F12" s="172"/>
      <c r="H12" s="147"/>
      <c r="J12" s="173"/>
      <c r="K12" s="174"/>
      <c r="L12" s="174"/>
      <c r="M12" s="173"/>
      <c r="N12" s="173"/>
      <c r="O12" s="173"/>
      <c r="Q12" s="170"/>
      <c r="R12" s="170"/>
      <c r="S12" s="170"/>
      <c r="T12" s="170"/>
      <c r="U12" s="170"/>
      <c r="V12" s="170"/>
      <c r="W12" s="170"/>
      <c r="X12" s="170"/>
      <c r="Y12" s="170"/>
    </row>
    <row r="13" spans="1:25" ht="21" x14ac:dyDescent="0.5">
      <c r="A13" s="155"/>
      <c r="B13" s="171"/>
      <c r="C13" s="171"/>
      <c r="D13" s="171"/>
      <c r="E13" s="171"/>
      <c r="F13" s="172"/>
      <c r="G13" s="145"/>
      <c r="H13" s="156">
        <f t="shared" ref="H13:M13" si="1">SUM(H15:H19)</f>
        <v>0</v>
      </c>
      <c r="I13" s="157">
        <f t="shared" si="1"/>
        <v>0</v>
      </c>
      <c r="J13" s="157">
        <f t="shared" si="1"/>
        <v>0</v>
      </c>
      <c r="K13" s="156">
        <f t="shared" si="1"/>
        <v>0</v>
      </c>
      <c r="L13" s="156">
        <f t="shared" si="1"/>
        <v>0</v>
      </c>
      <c r="M13" s="156">
        <f t="shared" si="1"/>
        <v>0</v>
      </c>
      <c r="O13" s="173"/>
      <c r="P13" s="145"/>
      <c r="Q13" s="150"/>
      <c r="R13" s="150"/>
      <c r="S13" s="150"/>
      <c r="T13" s="150"/>
      <c r="U13" s="150"/>
      <c r="V13" s="150"/>
      <c r="W13" s="150"/>
      <c r="X13" s="150"/>
      <c r="Y13" s="150"/>
    </row>
    <row r="14" spans="1:25" s="145" customFormat="1" ht="18.5" x14ac:dyDescent="0.45">
      <c r="B14" s="171"/>
      <c r="C14" s="171"/>
      <c r="D14" s="171"/>
      <c r="E14" s="171"/>
      <c r="F14" s="172"/>
      <c r="G14" s="158">
        <f>H13+I13+J13+K13+L13+M13</f>
        <v>0</v>
      </c>
      <c r="H14" s="159" t="s">
        <v>12</v>
      </c>
      <c r="I14" s="160" t="s">
        <v>13</v>
      </c>
      <c r="J14" s="160" t="s">
        <v>14</v>
      </c>
      <c r="K14" s="160" t="s">
        <v>15</v>
      </c>
      <c r="L14" s="160" t="s">
        <v>16</v>
      </c>
      <c r="M14" s="160" t="s">
        <v>17</v>
      </c>
      <c r="O14" s="173"/>
      <c r="P14" s="161"/>
      <c r="Q14" s="150"/>
      <c r="R14" s="150"/>
      <c r="S14" s="150"/>
      <c r="T14" s="150"/>
      <c r="U14" s="150"/>
      <c r="V14" s="150"/>
      <c r="W14" s="150"/>
      <c r="X14" s="150"/>
      <c r="Y14" s="150"/>
    </row>
    <row r="15" spans="1:25" ht="18.5" x14ac:dyDescent="0.45">
      <c r="B15" s="171"/>
      <c r="C15" s="171"/>
      <c r="D15" s="171"/>
      <c r="E15" s="171"/>
      <c r="F15" s="172"/>
      <c r="G15" s="163" t="s">
        <v>7</v>
      </c>
      <c r="H15" s="164">
        <f>SUMIFS($I$27:$I$492762,$E$27:$E$492762,1,$D$27:$D$492762,$H$14)</f>
        <v>0</v>
      </c>
      <c r="I15" s="165">
        <f>SUMIFS($I$27:$I$492762,$E$27:$E$492762,1,$D$27:$D$492762,$I$14)</f>
        <v>0</v>
      </c>
      <c r="J15" s="165">
        <f>SUMIFS($I$27:$I$492762,$E$27:$E$492762,1,$D$27:$D$492762,$J$14)</f>
        <v>0</v>
      </c>
      <c r="K15" s="166">
        <f>SUMIFS($I$27:$I$492762,$E$27:$E$492762,1,$D$27:$D$492762,$K$14)</f>
        <v>0</v>
      </c>
      <c r="L15" s="166">
        <f>SUMIFS($I$27:$I$492762,$E$27:$E$492762,1,$D$27:$D$492762,$L$14)</f>
        <v>0</v>
      </c>
      <c r="M15" s="166">
        <f>SUMIFS($I$27:$I$492762,$E$27:$E$492762,1,$D$27:$D$492762,$M$14)</f>
        <v>0</v>
      </c>
      <c r="O15" s="173"/>
      <c r="P15" s="161"/>
      <c r="Q15" s="150"/>
      <c r="R15" s="150"/>
      <c r="S15" s="150"/>
      <c r="T15" s="150"/>
      <c r="U15" s="150"/>
      <c r="V15" s="150"/>
      <c r="W15" s="150"/>
      <c r="X15" s="150"/>
      <c r="Y15" s="150"/>
    </row>
    <row r="16" spans="1:25" ht="18.5" x14ac:dyDescent="0.45">
      <c r="B16" s="171"/>
      <c r="C16" s="171"/>
      <c r="D16" s="171"/>
      <c r="E16" s="171"/>
      <c r="F16" s="172"/>
      <c r="G16" s="163" t="s">
        <v>8</v>
      </c>
      <c r="H16" s="164">
        <f>SUMIFS($I$27:$I$492762,$E$27:$E$492762,2,$D$27:$D$492762,$H$14)</f>
        <v>0</v>
      </c>
      <c r="I16" s="165">
        <f>SUMIFS($I$27:$I$492762,$E$27:$E$492762,2,$D$27:$D$492762,$I$14)</f>
        <v>0</v>
      </c>
      <c r="J16" s="165">
        <f>SUMIFS($I$27:$I$492762,$E$27:$E$492762,2,$D$27:$D$492762,$J$14)</f>
        <v>0</v>
      </c>
      <c r="K16" s="166">
        <f>SUMIFS($I$27:$I$492762,$E$27:$E$492762,2,$D$27:$D$492762,$K$14)</f>
        <v>0</v>
      </c>
      <c r="L16" s="166">
        <f>SUMIFS($I$27:$I$492762,$E$27:$E$492762,2,$D$27:$D$492762,$L$14)</f>
        <v>0</v>
      </c>
      <c r="M16" s="166">
        <f>SUMIFS($I$27:$I$492762,$E$27:$E$492762,2,$D$27:$D$492762,$M$14)</f>
        <v>0</v>
      </c>
      <c r="O16" s="173"/>
      <c r="P16" s="161"/>
      <c r="Q16" s="150"/>
      <c r="R16" s="150"/>
      <c r="S16" s="150"/>
      <c r="T16" s="150"/>
      <c r="U16" s="150"/>
      <c r="V16" s="150"/>
      <c r="W16" s="150"/>
      <c r="X16" s="150"/>
      <c r="Y16" s="150"/>
    </row>
    <row r="17" spans="2:25" ht="18.5" x14ac:dyDescent="0.45">
      <c r="B17" s="171"/>
      <c r="C17" s="171"/>
      <c r="D17" s="171"/>
      <c r="E17" s="171"/>
      <c r="F17" s="172"/>
      <c r="G17" s="163" t="s">
        <v>9</v>
      </c>
      <c r="H17" s="164">
        <f>SUMIFS($I$27:$I$492762,$E$27:$E$492762,3,$D$27:$D$492762,$H$14)</f>
        <v>0</v>
      </c>
      <c r="I17" s="165">
        <f>SUMIFS($I$27:$I$492762,$E$27:$E$492762,3,$D$27:$D$492762,$I$14)</f>
        <v>0</v>
      </c>
      <c r="J17" s="165">
        <f>SUMIFS($I$27:$I$492762,$E$27:$E$492762,3,$D$27:$D$492762,$J$14)</f>
        <v>0</v>
      </c>
      <c r="K17" s="166">
        <f>SUMIFS($I$27:$I$492762,$E$27:$E$492762,3,$D$27:$D$492762,$K$14)</f>
        <v>0</v>
      </c>
      <c r="L17" s="166">
        <f>SUMIFS($I$27:$I$492762,$E$27:$E$492762,3,$D$27:$D$492762,$L$14)</f>
        <v>0</v>
      </c>
      <c r="M17" s="166">
        <f>SUMIFS($I$27:$I$492762,$E$27:$E$492762,3,$D$27:$D$492762,$M$14)</f>
        <v>0</v>
      </c>
      <c r="O17" s="173"/>
      <c r="P17" s="161"/>
      <c r="Q17" s="150"/>
      <c r="R17" s="150"/>
      <c r="S17" s="150"/>
      <c r="T17" s="150"/>
      <c r="U17" s="150"/>
      <c r="V17" s="150"/>
      <c r="W17" s="150"/>
      <c r="X17" s="150"/>
      <c r="Y17" s="150"/>
    </row>
    <row r="18" spans="2:25" ht="18.5" x14ac:dyDescent="0.45">
      <c r="B18" s="171"/>
      <c r="C18" s="171"/>
      <c r="D18" s="171"/>
      <c r="E18" s="171"/>
      <c r="F18" s="172"/>
      <c r="G18" s="163" t="s">
        <v>10</v>
      </c>
      <c r="H18" s="164">
        <f>SUMIFS($I$27:$I$492762,$E$27:$E$492762,4,$D$27:$D$492762,$H$14)</f>
        <v>0</v>
      </c>
      <c r="I18" s="165">
        <f>SUMIFS($I$27:$I$492762,$E$27:$E$492762,4,$D$27:$D$492762,$I$14)</f>
        <v>0</v>
      </c>
      <c r="J18" s="165">
        <f>SUMIFS($I$27:$I$492762,$E$27:$E$492762,4,$D$27:$D$492762,$J$14)</f>
        <v>0</v>
      </c>
      <c r="K18" s="166">
        <f>SUMIFS($I$27:$I$492762,$E$27:$E$492762,4,$D$27:$D$492762,$K$14)</f>
        <v>0</v>
      </c>
      <c r="L18" s="166">
        <f>SUMIFS($I$27:$I$492762,$E$27:$E$492762,4,$D$27:$D$492762,$L$14)</f>
        <v>0</v>
      </c>
      <c r="M18" s="166">
        <f>SUMIFS($I$27:$I$492762,$E$27:$E$492762,4,$D$27:$D$492762,$M$14)</f>
        <v>0</v>
      </c>
      <c r="O18" s="173"/>
      <c r="P18" s="161"/>
      <c r="Q18" s="150"/>
      <c r="R18" s="150"/>
      <c r="S18" s="150"/>
      <c r="T18" s="150"/>
      <c r="U18" s="150"/>
      <c r="V18" s="150"/>
      <c r="W18" s="150"/>
      <c r="X18" s="150"/>
      <c r="Y18" s="150"/>
    </row>
    <row r="19" spans="2:25" ht="18.5" x14ac:dyDescent="0.45">
      <c r="B19" s="171"/>
      <c r="C19" s="171"/>
      <c r="D19" s="171"/>
      <c r="E19" s="171"/>
      <c r="F19" s="172"/>
      <c r="G19" s="163" t="s">
        <v>11</v>
      </c>
      <c r="H19" s="164">
        <f>SUMIFS($I$27:$I$492762,$E$27:$E$492762,5,$D$27:$D$492762,$H$14)</f>
        <v>0</v>
      </c>
      <c r="I19" s="165">
        <f>SUMIFS($I$27:$I$492762,$E$27:$E$492762,5,$D$27:$D$492762,$I$14)</f>
        <v>0</v>
      </c>
      <c r="J19" s="165">
        <f>SUMIFS($I$27:$I$492762,$E$27:$E$492762,5,$D$27:$D$492762,$J$14)</f>
        <v>0</v>
      </c>
      <c r="K19" s="166">
        <f>SUMIFS($I$27:$I$492762,$E$27:$E$492762,5,$D$27:$D$492762,$K$14)</f>
        <v>0</v>
      </c>
      <c r="L19" s="166">
        <f>SUMIFS($I$27:$I$492762,$E$27:$E$492762,5,$D$27:$D$492762,$L$14)</f>
        <v>0</v>
      </c>
      <c r="M19" s="166">
        <f>SUMIFS($I$27:$I$492762,$E$27:$E$492762,5,$D$27:$D$492762,$M$14)</f>
        <v>0</v>
      </c>
      <c r="O19" s="173"/>
      <c r="P19" s="161"/>
      <c r="Q19" s="175"/>
      <c r="R19" s="150"/>
      <c r="S19" s="150"/>
      <c r="T19" s="150"/>
      <c r="U19" s="150"/>
      <c r="V19" s="150"/>
      <c r="W19" s="150"/>
      <c r="X19" s="150"/>
      <c r="Y19" s="150"/>
    </row>
    <row r="20" spans="2:25" ht="14.5" x14ac:dyDescent="0.35">
      <c r="C20" s="176"/>
      <c r="D20" s="176"/>
      <c r="E20" s="176"/>
      <c r="F20" s="177"/>
      <c r="G20" s="171"/>
      <c r="H20" s="171"/>
      <c r="I20" s="176"/>
      <c r="J20" s="145"/>
      <c r="K20" s="148"/>
      <c r="L20" s="148"/>
      <c r="M20" s="145"/>
      <c r="O20" s="145"/>
      <c r="P20" s="145"/>
      <c r="Q20" s="175"/>
      <c r="R20" s="150"/>
      <c r="S20" s="150"/>
      <c r="T20" s="150"/>
      <c r="U20" s="150"/>
      <c r="V20" s="150"/>
      <c r="W20" s="150"/>
      <c r="X20" s="150"/>
      <c r="Y20" s="150"/>
    </row>
    <row r="21" spans="2:25" ht="18" x14ac:dyDescent="0.4">
      <c r="C21" s="178"/>
      <c r="D21" s="176"/>
      <c r="E21" s="176"/>
      <c r="F21" s="177"/>
      <c r="G21" s="147"/>
      <c r="H21" s="147"/>
      <c r="I21" s="147"/>
      <c r="J21" s="176"/>
      <c r="K21" s="148"/>
      <c r="L21" s="148"/>
      <c r="M21" s="145"/>
      <c r="O21" s="173"/>
      <c r="P21" s="145"/>
      <c r="Q21" s="175"/>
      <c r="R21" s="150"/>
      <c r="S21" s="150"/>
      <c r="T21" s="150"/>
      <c r="U21" s="150"/>
      <c r="V21" s="150"/>
      <c r="W21" s="150"/>
      <c r="X21" s="150"/>
      <c r="Y21" s="150"/>
    </row>
    <row r="22" spans="2:25" ht="14.5" x14ac:dyDescent="0.35">
      <c r="C22" s="176"/>
      <c r="D22" s="176"/>
      <c r="E22" s="176"/>
      <c r="F22" s="177"/>
      <c r="G22" s="171"/>
      <c r="H22" s="171"/>
      <c r="I22" s="176"/>
      <c r="J22" s="145"/>
      <c r="K22" s="148"/>
      <c r="L22" s="148"/>
      <c r="M22" s="145"/>
      <c r="O22" s="145"/>
      <c r="P22" s="145"/>
      <c r="Q22" s="179"/>
      <c r="R22" s="150"/>
      <c r="S22" s="150"/>
      <c r="T22" s="150"/>
      <c r="U22" s="150"/>
      <c r="V22" s="150"/>
      <c r="W22" s="150"/>
      <c r="X22" s="150"/>
      <c r="Y22" s="150"/>
    </row>
    <row r="23" spans="2:25" ht="18" x14ac:dyDescent="0.4">
      <c r="C23" s="178" t="s">
        <v>34</v>
      </c>
      <c r="D23" s="180"/>
      <c r="E23" s="180"/>
      <c r="F23" s="174"/>
      <c r="G23" s="147"/>
      <c r="H23" s="171"/>
      <c r="I23" s="181" t="s">
        <v>35</v>
      </c>
      <c r="J23" s="182"/>
      <c r="K23" s="148"/>
      <c r="L23" s="148"/>
      <c r="M23" s="145"/>
      <c r="O23" s="145"/>
      <c r="P23" s="145"/>
      <c r="Q23" s="150"/>
      <c r="R23" s="150"/>
      <c r="S23" s="150"/>
      <c r="T23" s="150"/>
      <c r="U23" s="150"/>
      <c r="V23" s="150"/>
      <c r="W23" s="150"/>
      <c r="X23" s="150"/>
      <c r="Y23" s="150"/>
    </row>
    <row r="24" spans="2:25" ht="15" thickBot="1" x14ac:dyDescent="0.4">
      <c r="C24" s="183" t="s">
        <v>21</v>
      </c>
      <c r="D24" s="184"/>
      <c r="E24" s="185"/>
      <c r="F24" s="186"/>
      <c r="G24" s="147"/>
      <c r="H24" s="147"/>
      <c r="I24" s="187">
        <f>SUBTOTAL(9,$I$27:$I$871)</f>
        <v>0</v>
      </c>
      <c r="J24" s="187"/>
      <c r="K24" s="180"/>
      <c r="L24" s="180"/>
      <c r="M24" s="145"/>
      <c r="O24" s="145"/>
      <c r="P24" s="145"/>
      <c r="Q24" s="150"/>
      <c r="R24" s="150"/>
      <c r="S24" s="150"/>
      <c r="T24" s="150"/>
      <c r="U24" s="150"/>
      <c r="V24" s="150"/>
      <c r="W24" s="150"/>
      <c r="X24" s="150"/>
      <c r="Y24" s="150"/>
    </row>
    <row r="25" spans="2:25" ht="12.75" customHeight="1" x14ac:dyDescent="0.3">
      <c r="B25" s="188"/>
      <c r="C25" s="189"/>
      <c r="D25" s="189"/>
      <c r="E25" s="189"/>
      <c r="F25" s="190"/>
      <c r="G25" s="191" t="s">
        <v>22</v>
      </c>
      <c r="H25" s="189"/>
      <c r="I25" s="192" t="s">
        <v>36</v>
      </c>
      <c r="J25" s="193" t="s">
        <v>37</v>
      </c>
      <c r="K25" s="194" t="s">
        <v>38</v>
      </c>
      <c r="L25" s="195" t="s">
        <v>39</v>
      </c>
      <c r="M25" s="195" t="s">
        <v>40</v>
      </c>
      <c r="N25" s="196" t="s">
        <v>41</v>
      </c>
      <c r="O25" s="196" t="s">
        <v>42</v>
      </c>
      <c r="P25" s="145"/>
      <c r="Q25" s="150"/>
      <c r="R25" s="150"/>
      <c r="S25" s="150"/>
      <c r="T25" s="150"/>
      <c r="U25" s="150"/>
      <c r="V25" s="150"/>
      <c r="W25" s="150"/>
      <c r="X25" s="150"/>
      <c r="Y25" s="150"/>
    </row>
    <row r="26" spans="2:25" ht="15.75" customHeight="1" thickBot="1" x14ac:dyDescent="0.35">
      <c r="B26" s="197" t="s">
        <v>43</v>
      </c>
      <c r="C26" s="198" t="s">
        <v>29</v>
      </c>
      <c r="D26" s="198" t="s">
        <v>30</v>
      </c>
      <c r="E26" s="199" t="s">
        <v>31</v>
      </c>
      <c r="F26" s="200" t="s">
        <v>44</v>
      </c>
      <c r="G26" s="201" t="s">
        <v>32</v>
      </c>
      <c r="H26" s="202" t="s">
        <v>33</v>
      </c>
      <c r="I26" s="192"/>
      <c r="J26" s="193"/>
      <c r="K26" s="194"/>
      <c r="L26" s="195"/>
      <c r="M26" s="195"/>
      <c r="N26" s="196"/>
      <c r="O26" s="196"/>
      <c r="P26" s="145"/>
      <c r="Q26" s="150"/>
      <c r="R26" s="150"/>
      <c r="S26" s="150"/>
      <c r="T26" s="150"/>
      <c r="U26" s="150"/>
      <c r="V26" s="150"/>
      <c r="W26" s="150"/>
      <c r="X26" s="150"/>
      <c r="Y26" s="150"/>
    </row>
    <row r="27" spans="2:25" ht="14.5" x14ac:dyDescent="0.35">
      <c r="B27" s="203"/>
      <c r="C27" s="204"/>
      <c r="D27" s="204"/>
      <c r="E27" s="203"/>
      <c r="F27" s="205"/>
      <c r="G27" s="206"/>
      <c r="H27" s="62"/>
      <c r="I27" s="207"/>
      <c r="J27" s="208"/>
      <c r="K27" s="209"/>
      <c r="L27" s="210"/>
      <c r="M27" s="211"/>
      <c r="N27" s="212"/>
      <c r="O27" s="213"/>
      <c r="P27" s="145"/>
      <c r="Q27" s="214"/>
      <c r="R27" s="150"/>
      <c r="S27" s="150"/>
      <c r="T27" s="150"/>
      <c r="U27" s="150"/>
      <c r="V27" s="150"/>
      <c r="W27" s="150"/>
      <c r="X27" s="150"/>
      <c r="Y27" s="150"/>
    </row>
    <row r="28" spans="2:25" ht="14.5" x14ac:dyDescent="0.35">
      <c r="B28" s="203"/>
      <c r="C28" s="204"/>
      <c r="D28" s="204"/>
      <c r="E28" s="203"/>
      <c r="F28" s="205"/>
      <c r="G28" s="206"/>
      <c r="H28" s="215"/>
      <c r="I28" s="216"/>
      <c r="J28" s="208"/>
      <c r="K28" s="209"/>
      <c r="L28" s="210"/>
      <c r="M28" s="211"/>
      <c r="N28" s="212"/>
      <c r="O28" s="217"/>
      <c r="P28" s="145"/>
      <c r="Q28" s="150"/>
      <c r="R28" s="150"/>
      <c r="S28" s="150"/>
      <c r="T28" s="150"/>
      <c r="U28" s="150"/>
      <c r="V28" s="150"/>
      <c r="W28" s="150"/>
      <c r="X28" s="150"/>
      <c r="Y28" s="150"/>
    </row>
    <row r="29" spans="2:25" ht="14.5" x14ac:dyDescent="0.35">
      <c r="B29" s="203"/>
      <c r="C29" s="204"/>
      <c r="D29" s="204"/>
      <c r="E29" s="203"/>
      <c r="F29" s="205"/>
      <c r="G29" s="206"/>
      <c r="H29" s="218"/>
      <c r="I29" s="216"/>
      <c r="J29" s="208"/>
      <c r="K29" s="209"/>
      <c r="L29" s="210"/>
      <c r="M29" s="211"/>
      <c r="N29" s="219"/>
      <c r="O29" s="217"/>
      <c r="P29" s="145"/>
      <c r="Q29" s="150"/>
      <c r="R29" s="150"/>
      <c r="S29" s="150"/>
      <c r="T29" s="150"/>
      <c r="U29" s="150"/>
      <c r="V29" s="150"/>
      <c r="W29" s="150"/>
      <c r="X29" s="150"/>
      <c r="Y29" s="150"/>
    </row>
    <row r="30" spans="2:25" ht="14.5" x14ac:dyDescent="0.35">
      <c r="B30" s="203"/>
      <c r="C30" s="204"/>
      <c r="D30" s="204"/>
      <c r="E30" s="203"/>
      <c r="F30" s="205"/>
      <c r="G30" s="206"/>
      <c r="H30" s="215"/>
      <c r="I30" s="207"/>
      <c r="J30" s="208"/>
      <c r="K30" s="209"/>
      <c r="L30" s="210"/>
      <c r="M30" s="211"/>
      <c r="N30" s="219"/>
      <c r="O30" s="217"/>
      <c r="P30" s="145"/>
      <c r="Q30" s="150"/>
      <c r="R30" s="150"/>
      <c r="S30" s="150"/>
      <c r="T30" s="150"/>
      <c r="U30" s="150"/>
      <c r="V30" s="150"/>
      <c r="W30" s="150"/>
      <c r="X30" s="150"/>
      <c r="Y30" s="150"/>
    </row>
    <row r="31" spans="2:25" s="220" customFormat="1" ht="14.5" x14ac:dyDescent="0.35">
      <c r="B31" s="203"/>
      <c r="C31" s="204"/>
      <c r="D31" s="204"/>
      <c r="E31" s="203"/>
      <c r="F31" s="205"/>
      <c r="G31" s="206"/>
      <c r="H31" s="62"/>
      <c r="I31" s="207"/>
      <c r="J31" s="208"/>
      <c r="K31" s="209"/>
      <c r="L31" s="210"/>
      <c r="M31" s="211"/>
      <c r="N31" s="212"/>
      <c r="O31" s="217"/>
      <c r="P31" s="145"/>
    </row>
    <row r="32" spans="2:25" s="220" customFormat="1" ht="14.5" x14ac:dyDescent="0.35">
      <c r="B32" s="203"/>
      <c r="C32" s="204"/>
      <c r="D32" s="204"/>
      <c r="E32" s="203"/>
      <c r="F32" s="205"/>
      <c r="G32" s="206"/>
      <c r="H32" s="215"/>
      <c r="I32" s="216"/>
      <c r="J32" s="208"/>
      <c r="K32" s="209"/>
      <c r="L32" s="210"/>
      <c r="M32" s="211"/>
      <c r="N32" s="212"/>
      <c r="O32" s="217"/>
      <c r="P32" s="145"/>
    </row>
    <row r="33" spans="2:25" ht="14.5" x14ac:dyDescent="0.35">
      <c r="B33" s="203"/>
      <c r="C33" s="204"/>
      <c r="D33" s="204"/>
      <c r="E33" s="203"/>
      <c r="F33" s="205"/>
      <c r="G33" s="206"/>
      <c r="H33" s="218"/>
      <c r="I33" s="216"/>
      <c r="J33" s="208"/>
      <c r="K33" s="209"/>
      <c r="L33" s="210"/>
      <c r="M33" s="211"/>
      <c r="N33" s="212"/>
      <c r="O33" s="217"/>
      <c r="P33" s="145"/>
      <c r="Q33" s="150"/>
      <c r="R33" s="150"/>
      <c r="S33" s="150"/>
      <c r="T33" s="150"/>
      <c r="U33" s="150"/>
      <c r="V33" s="150"/>
      <c r="W33" s="150"/>
      <c r="X33" s="150"/>
      <c r="Y33" s="150"/>
    </row>
    <row r="34" spans="2:25" ht="14.5" x14ac:dyDescent="0.35">
      <c r="B34" s="203"/>
      <c r="C34" s="204"/>
      <c r="D34" s="204"/>
      <c r="E34" s="203"/>
      <c r="F34" s="205"/>
      <c r="G34" s="206"/>
      <c r="H34" s="215"/>
      <c r="I34" s="207"/>
      <c r="J34" s="208"/>
      <c r="K34" s="209"/>
      <c r="L34" s="210"/>
      <c r="M34" s="211"/>
      <c r="N34" s="219"/>
      <c r="O34" s="217"/>
      <c r="P34" s="145"/>
      <c r="Q34" s="150"/>
      <c r="R34" s="150"/>
      <c r="S34" s="150"/>
      <c r="T34" s="150"/>
      <c r="U34" s="150"/>
      <c r="V34" s="150"/>
      <c r="W34" s="150"/>
      <c r="X34" s="150"/>
      <c r="Y34" s="150"/>
    </row>
    <row r="35" spans="2:25" ht="14.5" x14ac:dyDescent="0.35">
      <c r="B35" s="203"/>
      <c r="C35" s="204"/>
      <c r="D35" s="204"/>
      <c r="E35" s="203"/>
      <c r="F35" s="205"/>
      <c r="G35" s="206"/>
      <c r="H35" s="218"/>
      <c r="I35" s="207"/>
      <c r="J35" s="208"/>
      <c r="K35" s="209"/>
      <c r="L35" s="210"/>
      <c r="M35" s="211"/>
      <c r="N35" s="212"/>
      <c r="O35" s="217"/>
      <c r="P35" s="145"/>
      <c r="Q35" s="150"/>
      <c r="R35" s="150"/>
      <c r="S35" s="150"/>
      <c r="T35" s="150"/>
      <c r="U35" s="150"/>
      <c r="V35" s="150"/>
      <c r="W35" s="150"/>
      <c r="X35" s="150"/>
      <c r="Y35" s="150"/>
    </row>
    <row r="36" spans="2:25" ht="14.5" x14ac:dyDescent="0.35">
      <c r="B36" s="203"/>
      <c r="C36" s="204"/>
      <c r="D36" s="204"/>
      <c r="E36" s="203"/>
      <c r="F36" s="205"/>
      <c r="G36" s="206"/>
      <c r="H36" s="215"/>
      <c r="I36" s="216"/>
      <c r="J36" s="208"/>
      <c r="K36" s="209"/>
      <c r="L36" s="210"/>
      <c r="M36" s="211"/>
      <c r="N36" s="212"/>
      <c r="O36" s="217"/>
      <c r="P36" s="145"/>
      <c r="Q36" s="150"/>
      <c r="R36" s="150"/>
      <c r="S36" s="150"/>
      <c r="T36" s="150"/>
      <c r="U36" s="150"/>
      <c r="V36" s="150"/>
      <c r="W36" s="150"/>
      <c r="X36" s="150"/>
      <c r="Y36" s="150"/>
    </row>
    <row r="37" spans="2:25" ht="14.5" x14ac:dyDescent="0.35">
      <c r="B37" s="203"/>
      <c r="C37" s="204"/>
      <c r="D37" s="204"/>
      <c r="E37" s="203"/>
      <c r="F37" s="205"/>
      <c r="G37" s="206"/>
      <c r="H37" s="215"/>
      <c r="I37" s="216"/>
      <c r="J37" s="208"/>
      <c r="K37" s="209"/>
      <c r="L37" s="210"/>
      <c r="M37" s="211"/>
      <c r="N37" s="212"/>
      <c r="O37" s="217"/>
      <c r="P37" s="145"/>
      <c r="Q37" s="150"/>
      <c r="R37" s="150"/>
      <c r="S37" s="150"/>
      <c r="T37" s="150"/>
      <c r="U37" s="150"/>
      <c r="V37" s="150"/>
      <c r="W37" s="150"/>
      <c r="X37" s="150"/>
      <c r="Y37" s="150"/>
    </row>
    <row r="38" spans="2:25" ht="14.5" x14ac:dyDescent="0.35">
      <c r="B38" s="203"/>
      <c r="C38" s="204"/>
      <c r="D38" s="204"/>
      <c r="E38" s="203"/>
      <c r="F38" s="205"/>
      <c r="G38" s="206"/>
      <c r="H38" s="215"/>
      <c r="I38" s="216"/>
      <c r="J38" s="208"/>
      <c r="K38" s="221"/>
      <c r="L38" s="210"/>
      <c r="M38" s="211"/>
      <c r="N38" s="212"/>
      <c r="O38" s="217"/>
      <c r="P38" s="145"/>
      <c r="Q38" s="150"/>
      <c r="R38" s="150"/>
      <c r="S38" s="150"/>
      <c r="T38" s="150"/>
      <c r="U38" s="150"/>
      <c r="V38" s="150"/>
      <c r="W38" s="150"/>
      <c r="X38" s="150"/>
      <c r="Y38" s="150"/>
    </row>
    <row r="39" spans="2:25" ht="14.5" x14ac:dyDescent="0.35">
      <c r="B39" s="203"/>
      <c r="C39" s="204"/>
      <c r="D39" s="204"/>
      <c r="E39" s="203"/>
      <c r="F39" s="205"/>
      <c r="G39" s="206"/>
      <c r="H39" s="215"/>
      <c r="I39" s="207"/>
      <c r="J39" s="208"/>
      <c r="K39" s="209"/>
      <c r="L39" s="210"/>
      <c r="M39" s="211"/>
      <c r="N39" s="212"/>
      <c r="O39" s="217"/>
      <c r="P39" s="145"/>
      <c r="Q39" s="150"/>
      <c r="R39" s="150"/>
      <c r="S39" s="150"/>
      <c r="T39" s="150"/>
      <c r="U39" s="150"/>
      <c r="V39" s="150"/>
      <c r="W39" s="150"/>
      <c r="X39" s="150"/>
      <c r="Y39" s="150"/>
    </row>
    <row r="40" spans="2:25" ht="14.5" x14ac:dyDescent="0.35">
      <c r="B40" s="203"/>
      <c r="C40" s="204"/>
      <c r="D40" s="204"/>
      <c r="E40" s="203"/>
      <c r="F40" s="205"/>
      <c r="G40" s="206"/>
      <c r="H40" s="215"/>
      <c r="I40" s="207"/>
      <c r="J40" s="208"/>
      <c r="K40" s="209"/>
      <c r="L40" s="210"/>
      <c r="M40" s="211"/>
      <c r="N40" s="212"/>
      <c r="P40" s="145"/>
      <c r="Q40" s="150"/>
      <c r="R40" s="150"/>
      <c r="S40" s="150"/>
      <c r="T40" s="150"/>
      <c r="U40" s="150"/>
      <c r="V40" s="150"/>
      <c r="W40" s="150"/>
      <c r="X40" s="150"/>
      <c r="Y40" s="150"/>
    </row>
    <row r="41" spans="2:25" ht="14.5" x14ac:dyDescent="0.35">
      <c r="B41" s="203"/>
      <c r="C41" s="204"/>
      <c r="D41" s="204"/>
      <c r="E41" s="203"/>
      <c r="F41" s="205"/>
      <c r="G41" s="206"/>
      <c r="H41" s="215"/>
      <c r="I41" s="207"/>
      <c r="J41" s="208"/>
      <c r="K41" s="209"/>
      <c r="L41" s="210"/>
      <c r="M41" s="217"/>
      <c r="N41" s="212"/>
      <c r="O41" s="217"/>
      <c r="P41" s="145"/>
      <c r="Q41" s="150"/>
      <c r="R41" s="150"/>
      <c r="S41" s="150"/>
      <c r="T41" s="150"/>
      <c r="U41" s="150"/>
      <c r="V41" s="150"/>
      <c r="W41" s="150"/>
      <c r="X41" s="150"/>
      <c r="Y41" s="150"/>
    </row>
    <row r="42" spans="2:25" ht="14.5" x14ac:dyDescent="0.35">
      <c r="B42" s="203"/>
      <c r="C42" s="204"/>
      <c r="D42" s="204"/>
      <c r="E42" s="203"/>
      <c r="F42" s="205"/>
      <c r="G42" s="206"/>
      <c r="H42" s="218"/>
      <c r="I42" s="216"/>
      <c r="J42" s="208"/>
      <c r="K42" s="209"/>
      <c r="L42" s="210"/>
      <c r="M42" s="211"/>
      <c r="N42" s="219"/>
      <c r="O42" s="217"/>
      <c r="P42" s="145"/>
      <c r="Q42" s="150"/>
      <c r="R42" s="150"/>
      <c r="S42" s="150"/>
      <c r="T42" s="150"/>
      <c r="U42" s="150"/>
      <c r="V42" s="150"/>
      <c r="W42" s="150"/>
      <c r="X42" s="150"/>
      <c r="Y42" s="150"/>
    </row>
    <row r="43" spans="2:25" ht="14.5" x14ac:dyDescent="0.35">
      <c r="B43" s="203"/>
      <c r="C43" s="204"/>
      <c r="D43" s="204"/>
      <c r="E43" s="203"/>
      <c r="F43" s="205"/>
      <c r="G43" s="206"/>
      <c r="H43" s="215"/>
      <c r="I43" s="207"/>
      <c r="J43" s="208"/>
      <c r="K43" s="209"/>
      <c r="L43" s="210"/>
      <c r="M43" s="211"/>
      <c r="N43" s="219"/>
      <c r="O43" s="217"/>
      <c r="P43" s="220"/>
      <c r="Q43" s="150"/>
      <c r="R43" s="150"/>
      <c r="S43" s="150"/>
      <c r="T43" s="150"/>
      <c r="U43" s="150"/>
      <c r="V43" s="150"/>
      <c r="W43" s="150"/>
      <c r="X43" s="150"/>
      <c r="Y43" s="150"/>
    </row>
    <row r="44" spans="2:25" ht="14.5" x14ac:dyDescent="0.35">
      <c r="B44" s="203"/>
      <c r="C44" s="204"/>
      <c r="D44" s="204"/>
      <c r="E44" s="203"/>
      <c r="F44" s="205"/>
      <c r="G44" s="206"/>
      <c r="H44" s="215"/>
      <c r="I44" s="216"/>
      <c r="J44" s="208"/>
      <c r="K44" s="209"/>
      <c r="L44" s="210"/>
      <c r="M44" s="211"/>
      <c r="N44" s="212"/>
      <c r="O44" s="217"/>
      <c r="P44" s="145"/>
      <c r="Q44" s="150"/>
      <c r="R44" s="150"/>
      <c r="S44" s="150"/>
      <c r="T44" s="150"/>
      <c r="U44" s="150"/>
      <c r="V44" s="150"/>
      <c r="W44" s="150"/>
      <c r="X44" s="150"/>
      <c r="Y44" s="150"/>
    </row>
    <row r="45" spans="2:25" ht="14.5" x14ac:dyDescent="0.35">
      <c r="B45" s="203"/>
      <c r="C45" s="204"/>
      <c r="D45" s="204"/>
      <c r="E45" s="203"/>
      <c r="F45" s="205"/>
      <c r="G45" s="206"/>
      <c r="H45" s="215"/>
      <c r="I45" s="216"/>
      <c r="J45" s="208"/>
      <c r="K45" s="209"/>
      <c r="L45" s="210"/>
      <c r="M45" s="211"/>
      <c r="N45" s="212"/>
      <c r="O45" s="217"/>
      <c r="P45" s="145"/>
      <c r="Q45" s="150"/>
      <c r="R45" s="150"/>
      <c r="S45" s="150"/>
      <c r="T45" s="150"/>
      <c r="U45" s="150"/>
      <c r="V45" s="150"/>
      <c r="W45" s="150"/>
      <c r="X45" s="150"/>
      <c r="Y45" s="150"/>
    </row>
    <row r="46" spans="2:25" ht="14.5" x14ac:dyDescent="0.35">
      <c r="B46" s="203"/>
      <c r="C46" s="204"/>
      <c r="D46" s="204"/>
      <c r="E46" s="203"/>
      <c r="F46" s="205"/>
      <c r="G46" s="206"/>
      <c r="H46" s="215"/>
      <c r="I46" s="207"/>
      <c r="J46" s="208"/>
      <c r="K46" s="209"/>
      <c r="L46" s="210"/>
      <c r="M46" s="211"/>
      <c r="N46" s="212"/>
      <c r="O46" s="217"/>
      <c r="P46" s="145"/>
      <c r="Q46" s="150"/>
      <c r="R46" s="150"/>
      <c r="S46" s="150"/>
      <c r="T46" s="150"/>
      <c r="U46" s="150"/>
      <c r="V46" s="150"/>
      <c r="W46" s="150"/>
      <c r="X46" s="150"/>
      <c r="Y46" s="150"/>
    </row>
    <row r="47" spans="2:25" ht="14.5" x14ac:dyDescent="0.35">
      <c r="B47" s="203"/>
      <c r="C47" s="204"/>
      <c r="D47" s="204"/>
      <c r="E47" s="203"/>
      <c r="F47" s="205"/>
      <c r="G47" s="206"/>
      <c r="H47" s="215"/>
      <c r="I47" s="207"/>
      <c r="J47" s="208"/>
      <c r="K47" s="209"/>
      <c r="L47" s="210"/>
      <c r="M47" s="211"/>
      <c r="N47" s="212"/>
      <c r="O47" s="217"/>
      <c r="P47" s="145"/>
      <c r="Q47" s="150"/>
      <c r="R47" s="150"/>
      <c r="S47" s="150"/>
      <c r="T47" s="150"/>
      <c r="U47" s="150"/>
      <c r="V47" s="150"/>
      <c r="W47" s="150"/>
      <c r="X47" s="150"/>
      <c r="Y47" s="150"/>
    </row>
    <row r="48" spans="2:25" ht="14.5" x14ac:dyDescent="0.35">
      <c r="B48" s="203"/>
      <c r="C48" s="204"/>
      <c r="D48" s="204"/>
      <c r="E48" s="203"/>
      <c r="F48" s="205"/>
      <c r="G48" s="206"/>
      <c r="H48" s="215"/>
      <c r="I48" s="207"/>
      <c r="J48" s="208"/>
      <c r="K48" s="209"/>
      <c r="L48" s="210"/>
      <c r="M48" s="211"/>
      <c r="N48" s="219"/>
      <c r="O48" s="217"/>
      <c r="P48" s="145"/>
      <c r="Q48" s="150"/>
      <c r="R48" s="150"/>
      <c r="S48" s="150"/>
      <c r="T48" s="150"/>
      <c r="U48" s="150"/>
      <c r="V48" s="150"/>
      <c r="W48" s="150"/>
      <c r="X48" s="150"/>
      <c r="Y48" s="150"/>
    </row>
    <row r="49" spans="2:25" ht="14.5" x14ac:dyDescent="0.35">
      <c r="B49" s="203"/>
      <c r="C49" s="204"/>
      <c r="D49" s="204"/>
      <c r="E49" s="203"/>
      <c r="F49" s="205"/>
      <c r="G49" s="206"/>
      <c r="H49" s="215"/>
      <c r="I49" s="207"/>
      <c r="J49" s="208"/>
      <c r="K49" s="209"/>
      <c r="L49" s="210"/>
      <c r="M49" s="211"/>
      <c r="N49" s="219"/>
      <c r="O49" s="217"/>
      <c r="P49" s="145"/>
      <c r="Q49" s="150"/>
      <c r="R49" s="150"/>
      <c r="S49" s="150"/>
      <c r="T49" s="150"/>
      <c r="U49" s="150"/>
      <c r="V49" s="150"/>
      <c r="W49" s="150"/>
      <c r="X49" s="150"/>
      <c r="Y49" s="150"/>
    </row>
    <row r="50" spans="2:25" ht="14.5" x14ac:dyDescent="0.35">
      <c r="B50" s="203"/>
      <c r="C50" s="204"/>
      <c r="D50" s="204"/>
      <c r="E50" s="203"/>
      <c r="F50" s="205"/>
      <c r="G50" s="206"/>
      <c r="H50" s="215"/>
      <c r="I50" s="216"/>
      <c r="J50" s="208"/>
      <c r="K50" s="209"/>
      <c r="L50" s="210"/>
      <c r="M50" s="211"/>
      <c r="N50" s="219"/>
      <c r="O50" s="217"/>
      <c r="P50" s="145"/>
      <c r="Q50" s="150"/>
      <c r="R50" s="150"/>
      <c r="S50" s="150"/>
      <c r="T50" s="150"/>
      <c r="U50" s="150"/>
      <c r="V50" s="150"/>
      <c r="W50" s="150"/>
      <c r="X50" s="150"/>
      <c r="Y50" s="150"/>
    </row>
    <row r="51" spans="2:25" ht="14.5" x14ac:dyDescent="0.35">
      <c r="B51" s="203"/>
      <c r="C51" s="204"/>
      <c r="D51" s="204"/>
      <c r="E51" s="203"/>
      <c r="F51" s="205"/>
      <c r="G51" s="206"/>
      <c r="H51" s="215"/>
      <c r="I51" s="207"/>
      <c r="J51" s="208"/>
      <c r="K51" s="209"/>
      <c r="L51" s="210"/>
      <c r="M51" s="211"/>
      <c r="N51" s="219"/>
      <c r="O51" s="217"/>
      <c r="P51" s="145"/>
      <c r="Q51" s="150"/>
      <c r="R51" s="150"/>
      <c r="S51" s="150"/>
      <c r="T51" s="150"/>
      <c r="U51" s="150"/>
      <c r="V51" s="150"/>
      <c r="W51" s="150"/>
      <c r="X51" s="150"/>
      <c r="Y51" s="150"/>
    </row>
    <row r="52" spans="2:25" ht="14.5" x14ac:dyDescent="0.35">
      <c r="B52" s="203"/>
      <c r="C52" s="204"/>
      <c r="D52" s="204"/>
      <c r="E52" s="203"/>
      <c r="F52" s="205"/>
      <c r="G52" s="206"/>
      <c r="H52" s="215"/>
      <c r="I52" s="222"/>
      <c r="J52" s="208"/>
      <c r="K52" s="209"/>
      <c r="L52" s="210"/>
      <c r="M52" s="211"/>
      <c r="N52" s="219"/>
      <c r="O52" s="217"/>
      <c r="P52" s="145"/>
      <c r="Q52" s="150"/>
      <c r="R52" s="150"/>
      <c r="S52" s="150"/>
      <c r="T52" s="150"/>
      <c r="U52" s="150"/>
      <c r="V52" s="150"/>
      <c r="W52" s="150"/>
      <c r="X52" s="150"/>
      <c r="Y52" s="150"/>
    </row>
    <row r="53" spans="2:25" ht="14.5" x14ac:dyDescent="0.35">
      <c r="B53" s="223"/>
      <c r="C53" s="224"/>
      <c r="D53" s="224"/>
      <c r="E53" s="223"/>
      <c r="F53" s="205"/>
      <c r="G53" s="206"/>
      <c r="H53" s="215"/>
      <c r="I53" s="216"/>
      <c r="J53" s="208"/>
      <c r="K53" s="209"/>
      <c r="L53" s="210"/>
      <c r="M53" s="211"/>
      <c r="N53" s="219"/>
      <c r="O53" s="217"/>
      <c r="P53" s="145"/>
      <c r="Q53" s="150"/>
      <c r="R53" s="150"/>
      <c r="S53" s="150"/>
      <c r="T53" s="150"/>
      <c r="U53" s="150"/>
      <c r="V53" s="150"/>
      <c r="W53" s="150"/>
      <c r="X53" s="150"/>
      <c r="Y53" s="150"/>
    </row>
    <row r="54" spans="2:25" ht="14.5" x14ac:dyDescent="0.35">
      <c r="B54" s="203"/>
      <c r="C54" s="204"/>
      <c r="D54" s="204"/>
      <c r="E54" s="203"/>
      <c r="F54" s="205"/>
      <c r="G54" s="206"/>
      <c r="H54" s="215"/>
      <c r="I54" s="207"/>
      <c r="J54" s="208"/>
      <c r="K54" s="209"/>
      <c r="L54" s="210"/>
      <c r="M54" s="207"/>
      <c r="N54" s="219"/>
      <c r="O54" s="217"/>
      <c r="P54" s="220"/>
      <c r="Q54" s="150"/>
      <c r="R54" s="150"/>
      <c r="S54" s="150"/>
      <c r="T54" s="150"/>
      <c r="U54" s="150"/>
      <c r="V54" s="150"/>
      <c r="W54" s="150"/>
      <c r="X54" s="150"/>
      <c r="Y54" s="150"/>
    </row>
    <row r="55" spans="2:25" ht="14.5" x14ac:dyDescent="0.35">
      <c r="B55" s="203"/>
      <c r="C55" s="204"/>
      <c r="D55" s="204"/>
      <c r="E55" s="203"/>
      <c r="F55" s="205"/>
      <c r="G55" s="206"/>
      <c r="H55" s="215"/>
      <c r="I55" s="225"/>
      <c r="J55" s="208"/>
      <c r="K55" s="209"/>
      <c r="L55" s="210"/>
      <c r="M55" s="211"/>
      <c r="N55" s="219"/>
      <c r="O55" s="217"/>
      <c r="P55" s="145"/>
      <c r="Q55" s="150"/>
      <c r="R55" s="150"/>
      <c r="S55" s="150"/>
      <c r="T55" s="150"/>
      <c r="U55" s="150"/>
      <c r="V55" s="150"/>
      <c r="W55" s="150"/>
      <c r="X55" s="150"/>
      <c r="Y55" s="150"/>
    </row>
    <row r="56" spans="2:25" ht="14.5" x14ac:dyDescent="0.35">
      <c r="B56" s="203"/>
      <c r="C56" s="204"/>
      <c r="D56" s="204"/>
      <c r="E56" s="203"/>
      <c r="F56" s="205"/>
      <c r="G56" s="206"/>
      <c r="H56" s="215"/>
      <c r="I56" s="216"/>
      <c r="J56" s="208"/>
      <c r="K56" s="209"/>
      <c r="L56" s="210"/>
      <c r="M56" s="211"/>
      <c r="N56" s="219"/>
      <c r="O56" s="217"/>
      <c r="P56" s="145"/>
      <c r="Q56" s="150"/>
      <c r="R56" s="150"/>
      <c r="S56" s="150"/>
      <c r="T56" s="150"/>
      <c r="U56" s="150"/>
      <c r="V56" s="150"/>
      <c r="W56" s="150"/>
      <c r="X56" s="150"/>
      <c r="Y56" s="150"/>
    </row>
    <row r="57" spans="2:25" ht="14.5" x14ac:dyDescent="0.35">
      <c r="B57" s="203"/>
      <c r="C57" s="204"/>
      <c r="D57" s="204"/>
      <c r="E57" s="203"/>
      <c r="F57" s="205"/>
      <c r="G57" s="206"/>
      <c r="H57" s="215"/>
      <c r="I57" s="226"/>
      <c r="J57" s="208"/>
      <c r="K57" s="209"/>
      <c r="L57" s="210"/>
      <c r="M57" s="211"/>
      <c r="N57" s="219"/>
      <c r="O57" s="217"/>
      <c r="P57" s="145"/>
      <c r="Q57" s="150"/>
      <c r="R57" s="150"/>
      <c r="S57" s="150"/>
      <c r="T57" s="150"/>
      <c r="U57" s="150"/>
      <c r="V57" s="150"/>
      <c r="W57" s="150"/>
      <c r="X57" s="150"/>
      <c r="Y57" s="150"/>
    </row>
    <row r="58" spans="2:25" ht="14.5" x14ac:dyDescent="0.35">
      <c r="B58" s="203"/>
      <c r="C58" s="204"/>
      <c r="D58" s="204"/>
      <c r="E58" s="203"/>
      <c r="F58" s="205"/>
      <c r="G58" s="206"/>
      <c r="H58" s="215"/>
      <c r="I58" s="226"/>
      <c r="J58" s="208"/>
      <c r="K58" s="209"/>
      <c r="L58" s="210"/>
      <c r="M58" s="211"/>
      <c r="N58" s="219"/>
      <c r="O58" s="217"/>
      <c r="P58" s="145"/>
      <c r="Q58" s="150"/>
      <c r="R58" s="150"/>
      <c r="S58" s="150"/>
      <c r="T58" s="150"/>
      <c r="U58" s="150"/>
      <c r="V58" s="150"/>
      <c r="W58" s="150"/>
      <c r="X58" s="150"/>
      <c r="Y58" s="150"/>
    </row>
    <row r="59" spans="2:25" ht="14.5" x14ac:dyDescent="0.35">
      <c r="B59" s="203"/>
      <c r="C59" s="204"/>
      <c r="D59" s="204"/>
      <c r="E59" s="203"/>
      <c r="F59" s="205"/>
      <c r="G59" s="206"/>
      <c r="H59" s="215"/>
      <c r="I59" s="207"/>
      <c r="J59" s="208"/>
      <c r="K59" s="209"/>
      <c r="L59" s="210"/>
      <c r="M59" s="211"/>
      <c r="N59" s="219"/>
      <c r="O59" s="217"/>
      <c r="P59" s="145"/>
      <c r="Q59" s="150"/>
      <c r="R59" s="150"/>
      <c r="S59" s="150"/>
      <c r="T59" s="150"/>
      <c r="U59" s="150"/>
      <c r="V59" s="150"/>
      <c r="W59" s="150"/>
      <c r="X59" s="150"/>
      <c r="Y59" s="150"/>
    </row>
    <row r="60" spans="2:25" ht="14.5" x14ac:dyDescent="0.35">
      <c r="B60" s="203"/>
      <c r="C60" s="204"/>
      <c r="D60" s="204"/>
      <c r="E60" s="203"/>
      <c r="F60" s="205"/>
      <c r="G60" s="206"/>
      <c r="H60" s="215"/>
      <c r="I60" s="207"/>
      <c r="J60" s="208"/>
      <c r="K60" s="209"/>
      <c r="L60" s="210"/>
      <c r="M60" s="211"/>
      <c r="N60" s="219"/>
      <c r="O60" s="217"/>
      <c r="P60" s="145"/>
      <c r="Q60" s="150"/>
      <c r="R60" s="150"/>
      <c r="S60" s="150"/>
      <c r="T60" s="150"/>
      <c r="U60" s="150"/>
      <c r="V60" s="150"/>
      <c r="W60" s="150"/>
      <c r="X60" s="150"/>
      <c r="Y60" s="150"/>
    </row>
    <row r="61" spans="2:25" ht="14.5" x14ac:dyDescent="0.35">
      <c r="B61" s="203"/>
      <c r="C61" s="204"/>
      <c r="D61" s="204"/>
      <c r="E61" s="203"/>
      <c r="F61" s="205"/>
      <c r="G61" s="206"/>
      <c r="H61" s="215"/>
      <c r="I61" s="216"/>
      <c r="J61" s="208"/>
      <c r="K61" s="209"/>
      <c r="L61" s="210"/>
      <c r="M61" s="211"/>
      <c r="N61" s="219"/>
      <c r="O61" s="217"/>
      <c r="P61" s="145"/>
      <c r="Q61" s="150"/>
      <c r="R61" s="150"/>
      <c r="S61" s="150"/>
      <c r="T61" s="150"/>
      <c r="U61" s="150"/>
      <c r="V61" s="150"/>
      <c r="W61" s="150"/>
      <c r="X61" s="150"/>
      <c r="Y61" s="150"/>
    </row>
    <row r="62" spans="2:25" ht="14.5" x14ac:dyDescent="0.35">
      <c r="B62" s="203"/>
      <c r="C62" s="204"/>
      <c r="D62" s="204"/>
      <c r="E62" s="203"/>
      <c r="F62" s="205"/>
      <c r="G62" s="206"/>
      <c r="H62" s="215"/>
      <c r="I62" s="207"/>
      <c r="J62" s="208"/>
      <c r="K62" s="209"/>
      <c r="L62" s="210"/>
      <c r="M62" s="211"/>
      <c r="N62" s="219"/>
      <c r="O62" s="217"/>
      <c r="P62" s="145"/>
      <c r="Q62" s="150"/>
      <c r="R62" s="150"/>
      <c r="S62" s="150"/>
      <c r="T62" s="150"/>
      <c r="U62" s="150"/>
      <c r="V62" s="150"/>
      <c r="W62" s="150"/>
      <c r="X62" s="150"/>
      <c r="Y62" s="150"/>
    </row>
    <row r="63" spans="2:25" ht="14.5" x14ac:dyDescent="0.35">
      <c r="B63" s="203"/>
      <c r="C63" s="204"/>
      <c r="D63" s="204"/>
      <c r="E63" s="203"/>
      <c r="F63" s="205"/>
      <c r="G63" s="206"/>
      <c r="H63" s="215"/>
      <c r="I63" s="207"/>
      <c r="J63" s="208"/>
      <c r="K63" s="209"/>
      <c r="L63" s="210"/>
      <c r="M63" s="211"/>
      <c r="N63" s="219"/>
      <c r="O63" s="217"/>
      <c r="P63" s="145"/>
      <c r="Q63" s="150"/>
      <c r="R63" s="150"/>
      <c r="S63" s="150"/>
      <c r="T63" s="150"/>
      <c r="U63" s="150"/>
      <c r="V63" s="150"/>
      <c r="W63" s="150"/>
      <c r="X63" s="150"/>
      <c r="Y63" s="150"/>
    </row>
    <row r="64" spans="2:25" ht="14.5" x14ac:dyDescent="0.35">
      <c r="B64" s="203"/>
      <c r="C64" s="204"/>
      <c r="D64" s="204"/>
      <c r="E64" s="203"/>
      <c r="F64" s="205"/>
      <c r="G64" s="206"/>
      <c r="H64" s="218"/>
      <c r="I64" s="216"/>
      <c r="J64" s="208"/>
      <c r="K64" s="209"/>
      <c r="L64" s="210"/>
      <c r="M64" s="211"/>
      <c r="N64" s="219"/>
      <c r="O64" s="217"/>
      <c r="P64" s="145"/>
      <c r="Q64" s="150"/>
      <c r="R64" s="150"/>
      <c r="S64" s="150"/>
      <c r="T64" s="150"/>
      <c r="U64" s="150"/>
      <c r="V64" s="150"/>
      <c r="W64" s="150"/>
      <c r="X64" s="150"/>
      <c r="Y64" s="150"/>
    </row>
    <row r="65" spans="2:25" ht="14.5" x14ac:dyDescent="0.35">
      <c r="B65" s="203"/>
      <c r="C65" s="204"/>
      <c r="D65" s="204"/>
      <c r="E65" s="203"/>
      <c r="F65" s="205"/>
      <c r="G65" s="206"/>
      <c r="H65" s="215"/>
      <c r="I65" s="207"/>
      <c r="J65" s="208"/>
      <c r="K65" s="209"/>
      <c r="L65" s="210"/>
      <c r="M65" s="211"/>
      <c r="N65" s="219"/>
      <c r="O65" s="217"/>
      <c r="P65" s="145"/>
      <c r="Q65" s="150"/>
      <c r="R65" s="150"/>
      <c r="S65" s="150"/>
      <c r="T65" s="150"/>
      <c r="U65" s="150"/>
      <c r="V65" s="150"/>
      <c r="W65" s="150"/>
      <c r="X65" s="150"/>
      <c r="Y65" s="150"/>
    </row>
    <row r="66" spans="2:25" ht="14.5" x14ac:dyDescent="0.35">
      <c r="B66" s="203"/>
      <c r="C66" s="204"/>
      <c r="D66" s="204"/>
      <c r="E66" s="203"/>
      <c r="F66" s="205"/>
      <c r="G66" s="206"/>
      <c r="H66" s="215"/>
      <c r="I66" s="216"/>
      <c r="J66" s="208"/>
      <c r="K66" s="209"/>
      <c r="L66" s="210"/>
      <c r="M66" s="211"/>
      <c r="N66" s="219"/>
      <c r="O66" s="217"/>
      <c r="P66" s="145"/>
      <c r="Q66" s="150"/>
      <c r="R66" s="150"/>
      <c r="S66" s="150"/>
      <c r="T66" s="150"/>
      <c r="U66" s="150"/>
      <c r="V66" s="150"/>
      <c r="W66" s="150"/>
      <c r="X66" s="150"/>
      <c r="Y66" s="150"/>
    </row>
    <row r="67" spans="2:25" ht="14.5" x14ac:dyDescent="0.35">
      <c r="B67" s="203"/>
      <c r="C67" s="204"/>
      <c r="D67" s="204"/>
      <c r="E67" s="203"/>
      <c r="F67" s="205"/>
      <c r="G67" s="206"/>
      <c r="H67" s="215"/>
      <c r="I67" s="216"/>
      <c r="J67" s="208"/>
      <c r="K67" s="209"/>
      <c r="L67" s="210"/>
      <c r="M67" s="211"/>
      <c r="N67" s="219"/>
      <c r="O67" s="217"/>
      <c r="P67" s="145"/>
      <c r="Q67" s="150"/>
      <c r="R67" s="150"/>
      <c r="S67" s="150"/>
      <c r="T67" s="150"/>
      <c r="U67" s="150"/>
      <c r="V67" s="150"/>
      <c r="W67" s="150"/>
      <c r="X67" s="150"/>
      <c r="Y67" s="150"/>
    </row>
    <row r="68" spans="2:25" ht="14.5" x14ac:dyDescent="0.35">
      <c r="B68" s="203"/>
      <c r="C68" s="204"/>
      <c r="D68" s="204"/>
      <c r="E68" s="203"/>
      <c r="F68" s="205"/>
      <c r="G68" s="206"/>
      <c r="H68" s="215"/>
      <c r="I68" s="207"/>
      <c r="J68" s="208"/>
      <c r="K68" s="209"/>
      <c r="L68" s="210"/>
      <c r="M68" s="211"/>
      <c r="N68" s="219"/>
      <c r="O68" s="217"/>
      <c r="P68" s="145"/>
      <c r="Q68" s="150"/>
      <c r="R68" s="150"/>
      <c r="S68" s="150"/>
      <c r="T68" s="150"/>
      <c r="U68" s="150"/>
      <c r="V68" s="150"/>
      <c r="W68" s="150"/>
      <c r="X68" s="150"/>
      <c r="Y68" s="150"/>
    </row>
    <row r="69" spans="2:25" ht="14.5" x14ac:dyDescent="0.35">
      <c r="B69" s="203"/>
      <c r="C69" s="204"/>
      <c r="D69" s="204"/>
      <c r="E69" s="203"/>
      <c r="F69" s="205"/>
      <c r="G69" s="206"/>
      <c r="H69" s="215"/>
      <c r="I69" s="207"/>
      <c r="J69" s="208"/>
      <c r="K69" s="209"/>
      <c r="L69" s="210"/>
      <c r="M69" s="211"/>
      <c r="N69" s="219"/>
      <c r="O69" s="217"/>
      <c r="P69" s="145"/>
      <c r="Q69" s="150"/>
      <c r="R69" s="150"/>
      <c r="S69" s="150"/>
      <c r="T69" s="150"/>
      <c r="U69" s="150"/>
      <c r="V69" s="150"/>
      <c r="W69" s="150"/>
      <c r="X69" s="150"/>
      <c r="Y69" s="150"/>
    </row>
    <row r="70" spans="2:25" ht="14.5" x14ac:dyDescent="0.35">
      <c r="B70" s="203"/>
      <c r="C70" s="204"/>
      <c r="D70" s="204"/>
      <c r="E70" s="203"/>
      <c r="F70" s="205"/>
      <c r="G70" s="206"/>
      <c r="H70" s="215"/>
      <c r="I70" s="207"/>
      <c r="J70" s="208"/>
      <c r="K70" s="209"/>
      <c r="L70" s="210"/>
      <c r="M70" s="211"/>
      <c r="N70" s="219"/>
      <c r="O70" s="217"/>
      <c r="P70" s="145"/>
      <c r="Q70" s="150"/>
      <c r="R70" s="150"/>
      <c r="S70" s="150"/>
      <c r="T70" s="150"/>
      <c r="U70" s="150"/>
      <c r="V70" s="150"/>
      <c r="W70" s="150"/>
      <c r="X70" s="150"/>
      <c r="Y70" s="150"/>
    </row>
    <row r="71" spans="2:25" ht="14.5" x14ac:dyDescent="0.35">
      <c r="B71" s="223"/>
      <c r="C71" s="224"/>
      <c r="D71" s="224"/>
      <c r="E71" s="223"/>
      <c r="F71" s="205"/>
      <c r="G71" s="206"/>
      <c r="H71" s="227"/>
      <c r="I71" s="216"/>
      <c r="J71" s="208"/>
      <c r="K71" s="209"/>
      <c r="L71" s="210"/>
      <c r="M71" s="211"/>
      <c r="N71" s="219"/>
      <c r="P71" s="145"/>
      <c r="Q71" s="150"/>
      <c r="R71" s="150"/>
      <c r="S71" s="150"/>
      <c r="T71" s="150"/>
      <c r="U71" s="150"/>
      <c r="V71" s="150"/>
      <c r="W71" s="150"/>
      <c r="X71" s="150"/>
      <c r="Y71" s="150"/>
    </row>
    <row r="72" spans="2:25" ht="14.5" x14ac:dyDescent="0.35">
      <c r="B72" s="203"/>
      <c r="C72" s="204"/>
      <c r="D72" s="204"/>
      <c r="E72" s="203"/>
      <c r="F72" s="205"/>
      <c r="G72" s="206"/>
      <c r="H72" s="215"/>
      <c r="I72" s="207"/>
      <c r="J72" s="208"/>
      <c r="K72" s="209"/>
      <c r="L72" s="210"/>
      <c r="M72" s="211"/>
      <c r="N72" s="219"/>
      <c r="O72" s="217"/>
      <c r="P72" s="145"/>
      <c r="Q72" s="150"/>
      <c r="R72" s="150"/>
      <c r="S72" s="150"/>
      <c r="T72" s="150"/>
      <c r="U72" s="150"/>
      <c r="V72" s="150"/>
      <c r="W72" s="150"/>
      <c r="X72" s="150"/>
      <c r="Y72" s="150"/>
    </row>
    <row r="73" spans="2:25" ht="14.5" x14ac:dyDescent="0.35">
      <c r="B73" s="203"/>
      <c r="C73" s="204"/>
      <c r="D73" s="204"/>
      <c r="E73" s="203"/>
      <c r="F73" s="205"/>
      <c r="G73" s="206"/>
      <c r="H73" s="215"/>
      <c r="I73" s="207"/>
      <c r="J73" s="208"/>
      <c r="K73" s="209"/>
      <c r="L73" s="210"/>
      <c r="M73" s="211"/>
      <c r="N73" s="219"/>
      <c r="O73" s="217"/>
      <c r="P73" s="145"/>
      <c r="Q73" s="150"/>
      <c r="R73" s="150"/>
      <c r="S73" s="150"/>
      <c r="T73" s="150"/>
      <c r="U73" s="150"/>
      <c r="V73" s="150"/>
      <c r="W73" s="150"/>
      <c r="X73" s="150"/>
      <c r="Y73" s="150"/>
    </row>
    <row r="74" spans="2:25" ht="14.5" x14ac:dyDescent="0.35">
      <c r="B74" s="203"/>
      <c r="C74" s="204"/>
      <c r="D74" s="204"/>
      <c r="E74" s="203"/>
      <c r="F74" s="228"/>
      <c r="G74" s="206"/>
      <c r="H74" s="215"/>
      <c r="I74" s="216"/>
      <c r="J74" s="208"/>
      <c r="K74" s="209"/>
      <c r="L74" s="210"/>
      <c r="M74" s="211"/>
      <c r="N74" s="219"/>
      <c r="O74" s="217"/>
      <c r="P74" s="145"/>
      <c r="Q74" s="150"/>
      <c r="R74" s="150"/>
      <c r="S74" s="150"/>
      <c r="T74" s="150"/>
      <c r="U74" s="150"/>
      <c r="V74" s="150"/>
      <c r="W74" s="150"/>
      <c r="X74" s="150"/>
      <c r="Y74" s="150"/>
    </row>
    <row r="75" spans="2:25" ht="14.5" x14ac:dyDescent="0.35">
      <c r="B75" s="203"/>
      <c r="C75" s="204"/>
      <c r="D75" s="204"/>
      <c r="E75" s="203"/>
      <c r="F75" s="228"/>
      <c r="G75" s="206"/>
      <c r="H75" s="215"/>
      <c r="I75" s="207"/>
      <c r="J75" s="208"/>
      <c r="K75" s="209"/>
      <c r="L75" s="210"/>
      <c r="M75" s="211"/>
      <c r="N75" s="219"/>
      <c r="O75" s="217"/>
      <c r="P75" s="145"/>
      <c r="Q75" s="150"/>
      <c r="R75" s="150"/>
      <c r="S75" s="150"/>
      <c r="T75" s="150"/>
      <c r="U75" s="150"/>
      <c r="V75" s="150"/>
      <c r="W75" s="150"/>
      <c r="X75" s="150"/>
      <c r="Y75" s="150"/>
    </row>
    <row r="76" spans="2:25" ht="14.5" x14ac:dyDescent="0.35">
      <c r="B76" s="203"/>
      <c r="C76" s="204"/>
      <c r="D76" s="204"/>
      <c r="E76" s="203"/>
      <c r="F76" s="228"/>
      <c r="G76" s="206"/>
      <c r="H76" s="215"/>
      <c r="I76" s="216"/>
      <c r="J76" s="208"/>
      <c r="K76" s="209"/>
      <c r="L76" s="210"/>
      <c r="M76" s="211"/>
      <c r="N76" s="219"/>
      <c r="O76" s="217"/>
      <c r="P76" s="145"/>
      <c r="Q76" s="150"/>
      <c r="R76" s="150"/>
      <c r="S76" s="150"/>
      <c r="T76" s="150"/>
      <c r="U76" s="150"/>
      <c r="V76" s="150"/>
      <c r="W76" s="150"/>
      <c r="X76" s="150"/>
      <c r="Y76" s="150"/>
    </row>
    <row r="77" spans="2:25" ht="14.5" x14ac:dyDescent="0.35">
      <c r="B77" s="203"/>
      <c r="C77" s="204"/>
      <c r="D77" s="204"/>
      <c r="E77" s="203"/>
      <c r="F77" s="228"/>
      <c r="G77" s="206"/>
      <c r="H77" s="215"/>
      <c r="I77" s="207"/>
      <c r="J77" s="208"/>
      <c r="K77" s="209"/>
      <c r="L77" s="210"/>
      <c r="M77" s="211"/>
      <c r="N77" s="219"/>
      <c r="O77" s="217"/>
      <c r="P77" s="145"/>
      <c r="Q77" s="150"/>
      <c r="R77" s="150"/>
      <c r="S77" s="150"/>
      <c r="T77" s="150"/>
      <c r="U77" s="150"/>
      <c r="V77" s="150"/>
      <c r="W77" s="150"/>
      <c r="X77" s="150"/>
      <c r="Y77" s="150"/>
    </row>
    <row r="78" spans="2:25" ht="14.5" x14ac:dyDescent="0.35">
      <c r="B78" s="203"/>
      <c r="C78" s="204"/>
      <c r="D78" s="204"/>
      <c r="E78" s="203"/>
      <c r="F78" s="228"/>
      <c r="G78" s="206"/>
      <c r="H78" s="215"/>
      <c r="I78" s="216"/>
      <c r="J78" s="208"/>
      <c r="K78" s="209"/>
      <c r="L78" s="210"/>
      <c r="M78" s="211"/>
      <c r="N78" s="219"/>
      <c r="O78" s="217"/>
      <c r="P78" s="145"/>
      <c r="Q78" s="150"/>
      <c r="R78" s="150"/>
      <c r="S78" s="150"/>
      <c r="T78" s="150"/>
      <c r="U78" s="150"/>
      <c r="V78" s="150"/>
      <c r="W78" s="150"/>
      <c r="X78" s="150"/>
      <c r="Y78" s="150"/>
    </row>
    <row r="79" spans="2:25" ht="14.5" x14ac:dyDescent="0.35">
      <c r="B79" s="203"/>
      <c r="C79" s="204"/>
      <c r="D79" s="204"/>
      <c r="E79" s="203"/>
      <c r="F79" s="228"/>
      <c r="G79" s="206"/>
      <c r="H79" s="215"/>
      <c r="I79" s="207"/>
      <c r="J79" s="208"/>
      <c r="K79" s="209"/>
      <c r="L79" s="210"/>
      <c r="M79" s="211"/>
      <c r="N79" s="219"/>
      <c r="O79" s="217"/>
      <c r="P79" s="145"/>
      <c r="Q79" s="150"/>
      <c r="R79" s="150"/>
      <c r="S79" s="150"/>
      <c r="T79" s="150"/>
      <c r="U79" s="150"/>
      <c r="V79" s="150"/>
      <c r="W79" s="150"/>
      <c r="X79" s="150"/>
      <c r="Y79" s="150"/>
    </row>
    <row r="80" spans="2:25" ht="14.5" x14ac:dyDescent="0.35">
      <c r="B80" s="203"/>
      <c r="C80" s="204"/>
      <c r="D80" s="204"/>
      <c r="E80" s="203"/>
      <c r="F80" s="228"/>
      <c r="G80" s="206"/>
      <c r="H80" s="215"/>
      <c r="I80" s="216"/>
      <c r="J80" s="208"/>
      <c r="K80" s="209"/>
      <c r="L80" s="210"/>
      <c r="M80" s="211"/>
      <c r="N80" s="219"/>
      <c r="O80" s="217"/>
      <c r="P80" s="145"/>
      <c r="Q80" s="150"/>
      <c r="R80" s="150"/>
      <c r="S80" s="150"/>
      <c r="T80" s="150"/>
      <c r="U80" s="150"/>
      <c r="V80" s="150"/>
      <c r="W80" s="150"/>
      <c r="X80" s="150"/>
      <c r="Y80" s="150"/>
    </row>
    <row r="81" spans="2:25" ht="14.5" x14ac:dyDescent="0.35">
      <c r="B81" s="203"/>
      <c r="C81" s="204"/>
      <c r="D81" s="204"/>
      <c r="E81" s="203"/>
      <c r="F81" s="228"/>
      <c r="G81" s="206"/>
      <c r="H81" s="215"/>
      <c r="I81" s="207"/>
      <c r="J81" s="208"/>
      <c r="K81" s="209"/>
      <c r="L81" s="210"/>
      <c r="M81" s="211"/>
      <c r="N81" s="219"/>
      <c r="O81" s="217"/>
      <c r="P81" s="145"/>
      <c r="Q81" s="150"/>
      <c r="R81" s="150"/>
      <c r="S81" s="150"/>
      <c r="T81" s="150"/>
      <c r="U81" s="150"/>
      <c r="V81" s="150"/>
      <c r="W81" s="150"/>
      <c r="X81" s="150"/>
      <c r="Y81" s="150"/>
    </row>
    <row r="82" spans="2:25" ht="14.5" x14ac:dyDescent="0.35">
      <c r="B82" s="203"/>
      <c r="C82" s="204"/>
      <c r="D82" s="204"/>
      <c r="E82" s="203"/>
      <c r="F82" s="228"/>
      <c r="G82" s="206"/>
      <c r="H82" s="215"/>
      <c r="I82" s="216"/>
      <c r="J82" s="208"/>
      <c r="K82" s="209"/>
      <c r="L82" s="210"/>
      <c r="M82" s="211"/>
      <c r="N82" s="219"/>
      <c r="O82" s="217"/>
      <c r="P82" s="145"/>
      <c r="Q82" s="150"/>
      <c r="R82" s="150"/>
      <c r="S82" s="150"/>
      <c r="T82" s="150"/>
      <c r="U82" s="150"/>
      <c r="V82" s="150"/>
      <c r="W82" s="150"/>
      <c r="X82" s="150"/>
      <c r="Y82" s="150"/>
    </row>
    <row r="83" spans="2:25" ht="14.5" x14ac:dyDescent="0.35">
      <c r="B83" s="203"/>
      <c r="C83" s="204"/>
      <c r="D83" s="204"/>
      <c r="E83" s="203"/>
      <c r="F83" s="228"/>
      <c r="G83" s="206"/>
      <c r="H83" s="215"/>
      <c r="I83" s="207"/>
      <c r="J83" s="208"/>
      <c r="K83" s="209"/>
      <c r="L83" s="210"/>
      <c r="M83" s="211"/>
      <c r="N83" s="219"/>
      <c r="O83" s="217"/>
      <c r="P83" s="145"/>
      <c r="Q83" s="150"/>
      <c r="R83" s="150"/>
      <c r="S83" s="150"/>
      <c r="T83" s="150"/>
      <c r="U83" s="150"/>
      <c r="V83" s="150"/>
      <c r="W83" s="150"/>
      <c r="X83" s="150"/>
      <c r="Y83" s="150"/>
    </row>
    <row r="84" spans="2:25" ht="14.5" x14ac:dyDescent="0.35">
      <c r="B84" s="203"/>
      <c r="C84" s="204"/>
      <c r="D84" s="204"/>
      <c r="E84" s="203"/>
      <c r="F84" s="228"/>
      <c r="G84" s="206"/>
      <c r="H84" s="215"/>
      <c r="I84" s="216"/>
      <c r="J84" s="208"/>
      <c r="K84" s="209"/>
      <c r="L84" s="210"/>
      <c r="M84" s="211"/>
      <c r="N84" s="219"/>
      <c r="O84" s="217"/>
      <c r="P84" s="145"/>
      <c r="Q84" s="150"/>
      <c r="R84" s="150"/>
      <c r="S84" s="150"/>
      <c r="T84" s="150"/>
      <c r="U84" s="150"/>
      <c r="V84" s="150"/>
      <c r="W84" s="150"/>
      <c r="X84" s="150"/>
      <c r="Y84" s="150"/>
    </row>
    <row r="85" spans="2:25" ht="14.5" x14ac:dyDescent="0.35">
      <c r="B85" s="203"/>
      <c r="C85" s="204"/>
      <c r="D85" s="204"/>
      <c r="E85" s="203"/>
      <c r="F85" s="228"/>
      <c r="G85" s="206"/>
      <c r="H85" s="215"/>
      <c r="I85" s="207"/>
      <c r="J85" s="208"/>
      <c r="K85" s="209"/>
      <c r="L85" s="210"/>
      <c r="M85" s="211"/>
      <c r="N85" s="219"/>
      <c r="O85" s="217"/>
      <c r="P85" s="145"/>
      <c r="Q85" s="150"/>
      <c r="R85" s="150"/>
      <c r="S85" s="150"/>
      <c r="T85" s="150"/>
      <c r="U85" s="150"/>
      <c r="V85" s="150"/>
      <c r="W85" s="150"/>
      <c r="X85" s="150"/>
      <c r="Y85" s="150"/>
    </row>
    <row r="86" spans="2:25" ht="14.5" x14ac:dyDescent="0.35">
      <c r="B86" s="203"/>
      <c r="C86" s="204"/>
      <c r="D86" s="204"/>
      <c r="E86" s="203"/>
      <c r="F86" s="228"/>
      <c r="G86" s="206"/>
      <c r="H86" s="215"/>
      <c r="I86" s="216"/>
      <c r="J86" s="208"/>
      <c r="K86" s="209"/>
      <c r="L86" s="210"/>
      <c r="M86" s="211"/>
      <c r="N86" s="219"/>
      <c r="O86" s="217"/>
      <c r="P86" s="145"/>
      <c r="Q86" s="150"/>
      <c r="R86" s="150"/>
      <c r="S86" s="150"/>
      <c r="T86" s="150"/>
      <c r="U86" s="150"/>
      <c r="V86" s="150"/>
      <c r="W86" s="150"/>
      <c r="X86" s="150"/>
      <c r="Y86" s="150"/>
    </row>
    <row r="87" spans="2:25" ht="14.5" x14ac:dyDescent="0.35">
      <c r="B87" s="203"/>
      <c r="C87" s="204"/>
      <c r="D87" s="204"/>
      <c r="E87" s="203"/>
      <c r="F87" s="228"/>
      <c r="G87" s="206"/>
      <c r="H87" s="215"/>
      <c r="I87" s="216"/>
      <c r="J87" s="208"/>
      <c r="K87" s="209"/>
      <c r="L87" s="210"/>
      <c r="M87" s="211"/>
      <c r="N87" s="219"/>
      <c r="O87" s="217"/>
      <c r="P87" s="145"/>
      <c r="Q87" s="150"/>
      <c r="R87" s="150"/>
      <c r="S87" s="150"/>
      <c r="T87" s="150"/>
      <c r="U87" s="150"/>
      <c r="V87" s="150"/>
      <c r="W87" s="150"/>
      <c r="X87" s="150"/>
      <c r="Y87" s="150"/>
    </row>
    <row r="88" spans="2:25" ht="15" thickBot="1" x14ac:dyDescent="0.4">
      <c r="B88" s="203"/>
      <c r="C88" s="204"/>
      <c r="D88" s="204"/>
      <c r="E88" s="203"/>
      <c r="F88" s="228"/>
      <c r="G88" s="229"/>
      <c r="H88" s="230"/>
      <c r="I88" s="231"/>
      <c r="J88" s="232"/>
      <c r="K88" s="209"/>
      <c r="L88" s="210"/>
      <c r="M88" s="211"/>
      <c r="N88" s="219"/>
      <c r="O88" s="217"/>
      <c r="P88" s="145"/>
      <c r="Q88" s="150"/>
      <c r="R88" s="150"/>
      <c r="S88" s="150"/>
      <c r="T88" s="150"/>
      <c r="U88" s="150"/>
      <c r="V88" s="150"/>
      <c r="W88" s="150"/>
      <c r="X88" s="150"/>
      <c r="Y88" s="150"/>
    </row>
    <row r="89" spans="2:25" ht="15" thickBot="1" x14ac:dyDescent="0.4">
      <c r="B89" s="203"/>
      <c r="C89" s="204"/>
      <c r="D89" s="204"/>
      <c r="E89" s="203"/>
      <c r="F89" s="228"/>
      <c r="G89" s="206"/>
      <c r="H89" s="230"/>
      <c r="I89" s="233"/>
      <c r="J89" s="208"/>
      <c r="K89" s="209"/>
      <c r="L89" s="210"/>
      <c r="M89" s="211"/>
      <c r="N89" s="219"/>
      <c r="O89" s="217"/>
      <c r="P89" s="145"/>
      <c r="Q89" s="150"/>
      <c r="R89" s="150"/>
      <c r="S89" s="150"/>
      <c r="T89" s="150"/>
      <c r="U89" s="150"/>
      <c r="V89" s="150"/>
      <c r="W89" s="150"/>
      <c r="X89" s="150"/>
      <c r="Y89" s="150"/>
    </row>
    <row r="90" spans="2:25" ht="15" thickBot="1" x14ac:dyDescent="0.4">
      <c r="B90" s="203"/>
      <c r="C90" s="204"/>
      <c r="D90" s="204"/>
      <c r="E90" s="203"/>
      <c r="F90" s="228"/>
      <c r="G90" s="206"/>
      <c r="H90" s="234"/>
      <c r="I90" s="216"/>
      <c r="J90" s="208"/>
      <c r="K90" s="209"/>
      <c r="L90" s="210"/>
      <c r="M90" s="211"/>
      <c r="N90" s="219"/>
      <c r="O90" s="217"/>
      <c r="P90" s="145"/>
      <c r="Q90" s="150"/>
      <c r="R90" s="150"/>
      <c r="S90" s="150"/>
      <c r="T90" s="150"/>
      <c r="U90" s="150"/>
      <c r="V90" s="150"/>
      <c r="W90" s="150"/>
      <c r="X90" s="150"/>
      <c r="Y90" s="150"/>
    </row>
    <row r="91" spans="2:25" ht="15" thickBot="1" x14ac:dyDescent="0.4">
      <c r="B91" s="203"/>
      <c r="C91" s="204"/>
      <c r="D91" s="204"/>
      <c r="E91" s="203"/>
      <c r="F91" s="228"/>
      <c r="G91" s="206"/>
      <c r="H91" s="230"/>
      <c r="I91" s="233"/>
      <c r="J91" s="208"/>
      <c r="K91" s="209"/>
      <c r="L91" s="210"/>
      <c r="M91" s="211"/>
      <c r="N91" s="219"/>
      <c r="O91" s="217"/>
      <c r="P91" s="145"/>
      <c r="Q91" s="150"/>
      <c r="R91" s="150"/>
      <c r="S91" s="150"/>
      <c r="T91" s="150"/>
      <c r="U91" s="150"/>
      <c r="V91" s="150"/>
      <c r="W91" s="150"/>
      <c r="X91" s="150"/>
      <c r="Y91" s="150"/>
    </row>
    <row r="92" spans="2:25" ht="15" thickBot="1" x14ac:dyDescent="0.4">
      <c r="B92" s="203"/>
      <c r="C92" s="204"/>
      <c r="D92" s="204"/>
      <c r="E92" s="203"/>
      <c r="F92" s="228"/>
      <c r="G92" s="206"/>
      <c r="H92" s="234"/>
      <c r="I92" s="216"/>
      <c r="J92" s="208"/>
      <c r="K92" s="209"/>
      <c r="L92" s="210"/>
      <c r="M92" s="211"/>
      <c r="N92" s="219"/>
      <c r="O92" s="217"/>
      <c r="P92" s="145"/>
      <c r="Q92" s="150"/>
      <c r="R92" s="150"/>
      <c r="S92" s="150"/>
      <c r="T92" s="150"/>
      <c r="U92" s="150"/>
      <c r="V92" s="150"/>
      <c r="W92" s="150"/>
      <c r="X92" s="150"/>
      <c r="Y92" s="150"/>
    </row>
    <row r="93" spans="2:25" ht="15" thickBot="1" x14ac:dyDescent="0.4">
      <c r="B93" s="203"/>
      <c r="C93" s="204"/>
      <c r="D93" s="204"/>
      <c r="E93" s="203"/>
      <c r="F93" s="228"/>
      <c r="G93" s="206"/>
      <c r="H93" s="230"/>
      <c r="I93" s="233"/>
      <c r="J93" s="208"/>
      <c r="K93" s="209"/>
      <c r="L93" s="210"/>
      <c r="M93" s="211"/>
      <c r="N93" s="219"/>
      <c r="O93" s="217"/>
      <c r="P93" s="145"/>
      <c r="Q93" s="150"/>
      <c r="R93" s="150"/>
      <c r="S93" s="150"/>
      <c r="T93" s="150"/>
      <c r="U93" s="150"/>
      <c r="V93" s="150"/>
      <c r="W93" s="150"/>
      <c r="X93" s="150"/>
      <c r="Y93" s="150"/>
    </row>
    <row r="94" spans="2:25" ht="15" thickBot="1" x14ac:dyDescent="0.4">
      <c r="B94" s="203"/>
      <c r="C94" s="204"/>
      <c r="D94" s="204"/>
      <c r="E94" s="203"/>
      <c r="F94" s="228"/>
      <c r="G94" s="206"/>
      <c r="H94" s="234"/>
      <c r="I94" s="216"/>
      <c r="J94" s="208"/>
      <c r="K94" s="209"/>
      <c r="L94" s="210"/>
      <c r="M94" s="211"/>
      <c r="N94" s="219"/>
      <c r="O94" s="217"/>
      <c r="P94" s="145"/>
      <c r="Q94" s="150"/>
      <c r="R94" s="150"/>
      <c r="S94" s="150"/>
      <c r="T94" s="150"/>
      <c r="U94" s="150"/>
      <c r="V94" s="150"/>
      <c r="W94" s="150"/>
      <c r="X94" s="150"/>
      <c r="Y94" s="150"/>
    </row>
    <row r="95" spans="2:25" ht="15" thickBot="1" x14ac:dyDescent="0.4">
      <c r="B95" s="203"/>
      <c r="C95" s="204"/>
      <c r="D95" s="204"/>
      <c r="E95" s="203"/>
      <c r="F95" s="228"/>
      <c r="G95" s="206"/>
      <c r="H95" s="230"/>
      <c r="I95" s="233"/>
      <c r="J95" s="208"/>
      <c r="K95" s="209"/>
      <c r="L95" s="210"/>
      <c r="M95" s="211"/>
      <c r="N95" s="219"/>
      <c r="O95" s="217"/>
      <c r="P95" s="145"/>
      <c r="Q95" s="150"/>
      <c r="R95" s="150"/>
      <c r="S95" s="150"/>
      <c r="T95" s="150"/>
      <c r="U95" s="150"/>
      <c r="V95" s="150"/>
      <c r="W95" s="150"/>
      <c r="X95" s="150"/>
      <c r="Y95" s="150"/>
    </row>
    <row r="96" spans="2:25" ht="15" thickBot="1" x14ac:dyDescent="0.4">
      <c r="B96" s="203"/>
      <c r="C96" s="204"/>
      <c r="D96" s="204"/>
      <c r="E96" s="203"/>
      <c r="F96" s="228"/>
      <c r="G96" s="206"/>
      <c r="H96" s="234"/>
      <c r="I96" s="216"/>
      <c r="J96" s="208"/>
      <c r="K96" s="209"/>
      <c r="L96" s="210"/>
      <c r="M96" s="211"/>
      <c r="N96" s="219"/>
      <c r="O96" s="217"/>
      <c r="P96" s="145"/>
      <c r="Q96" s="150"/>
      <c r="R96" s="150"/>
      <c r="S96" s="150"/>
      <c r="T96" s="150"/>
      <c r="U96" s="150"/>
      <c r="V96" s="150"/>
      <c r="W96" s="150"/>
      <c r="X96" s="150"/>
      <c r="Y96" s="150"/>
    </row>
    <row r="97" spans="2:25" ht="15" thickBot="1" x14ac:dyDescent="0.4">
      <c r="B97" s="203"/>
      <c r="C97" s="204"/>
      <c r="D97" s="204"/>
      <c r="E97" s="203"/>
      <c r="F97" s="228"/>
      <c r="G97" s="206"/>
      <c r="H97" s="230"/>
      <c r="I97" s="233"/>
      <c r="J97" s="208"/>
      <c r="K97" s="209"/>
      <c r="L97" s="210"/>
      <c r="M97" s="211"/>
      <c r="N97" s="219"/>
      <c r="O97" s="217"/>
      <c r="P97" s="145"/>
      <c r="Q97" s="150"/>
      <c r="R97" s="150"/>
      <c r="S97" s="150"/>
      <c r="T97" s="150"/>
      <c r="U97" s="150"/>
      <c r="V97" s="150"/>
      <c r="W97" s="150"/>
      <c r="X97" s="150"/>
      <c r="Y97" s="150"/>
    </row>
    <row r="98" spans="2:25" ht="15" thickBot="1" x14ac:dyDescent="0.4">
      <c r="B98" s="203"/>
      <c r="C98" s="204"/>
      <c r="D98" s="204"/>
      <c r="E98" s="203"/>
      <c r="F98" s="228"/>
      <c r="G98" s="206"/>
      <c r="H98" s="234"/>
      <c r="I98" s="216"/>
      <c r="J98" s="208"/>
      <c r="K98" s="209"/>
      <c r="L98" s="210"/>
      <c r="M98" s="211"/>
      <c r="N98" s="219"/>
      <c r="O98" s="217"/>
      <c r="P98" s="145"/>
      <c r="Q98" s="150"/>
      <c r="R98" s="150"/>
      <c r="S98" s="150"/>
      <c r="T98" s="150"/>
      <c r="U98" s="150"/>
      <c r="V98" s="150"/>
      <c r="W98" s="150"/>
      <c r="X98" s="150"/>
      <c r="Y98" s="150"/>
    </row>
    <row r="99" spans="2:25" ht="15" thickBot="1" x14ac:dyDescent="0.4">
      <c r="B99" s="203"/>
      <c r="C99" s="204"/>
      <c r="D99" s="204"/>
      <c r="E99" s="203"/>
      <c r="F99" s="228"/>
      <c r="G99" s="206"/>
      <c r="H99" s="230"/>
      <c r="I99" s="233"/>
      <c r="J99" s="208"/>
      <c r="K99" s="209"/>
      <c r="L99" s="210"/>
      <c r="M99" s="211"/>
      <c r="N99" s="219"/>
      <c r="O99" s="217"/>
      <c r="P99" s="145"/>
      <c r="Q99" s="150"/>
      <c r="R99" s="150"/>
      <c r="S99" s="150"/>
      <c r="T99" s="150"/>
      <c r="U99" s="150"/>
      <c r="V99" s="150"/>
      <c r="W99" s="150"/>
      <c r="X99" s="150"/>
      <c r="Y99" s="150"/>
    </row>
    <row r="100" spans="2:25" ht="15" thickBot="1" x14ac:dyDescent="0.4">
      <c r="B100" s="203"/>
      <c r="C100" s="204"/>
      <c r="D100" s="204"/>
      <c r="E100" s="203"/>
      <c r="F100" s="228"/>
      <c r="G100" s="206"/>
      <c r="H100" s="234"/>
      <c r="I100" s="216"/>
      <c r="J100" s="208"/>
      <c r="K100" s="209"/>
      <c r="L100" s="210"/>
      <c r="M100" s="211"/>
      <c r="N100" s="219"/>
      <c r="O100" s="217"/>
      <c r="P100" s="145"/>
      <c r="Q100" s="150"/>
      <c r="R100" s="150"/>
      <c r="S100" s="150"/>
      <c r="T100" s="150"/>
      <c r="U100" s="150"/>
      <c r="V100" s="150"/>
      <c r="W100" s="150"/>
      <c r="X100" s="150"/>
      <c r="Y100" s="150"/>
    </row>
    <row r="101" spans="2:25" ht="15" thickBot="1" x14ac:dyDescent="0.4">
      <c r="B101" s="203"/>
      <c r="C101" s="204"/>
      <c r="D101" s="204"/>
      <c r="E101" s="203"/>
      <c r="F101" s="228"/>
      <c r="G101" s="206"/>
      <c r="H101" s="230"/>
      <c r="I101" s="233"/>
      <c r="J101" s="208"/>
      <c r="K101" s="209"/>
      <c r="L101" s="210"/>
      <c r="M101" s="211"/>
      <c r="N101" s="219"/>
      <c r="O101" s="217"/>
      <c r="P101" s="145"/>
      <c r="Q101" s="150"/>
      <c r="R101" s="150"/>
      <c r="S101" s="150"/>
      <c r="T101" s="150"/>
      <c r="U101" s="150"/>
      <c r="V101" s="150"/>
      <c r="W101" s="150"/>
      <c r="X101" s="150"/>
      <c r="Y101" s="150"/>
    </row>
    <row r="102" spans="2:25" ht="15" thickBot="1" x14ac:dyDescent="0.4">
      <c r="B102" s="203"/>
      <c r="C102" s="204"/>
      <c r="D102" s="204"/>
      <c r="E102" s="203"/>
      <c r="F102" s="228"/>
      <c r="G102" s="206"/>
      <c r="H102" s="234"/>
      <c r="I102" s="216"/>
      <c r="J102" s="208"/>
      <c r="K102" s="209"/>
      <c r="L102" s="210"/>
      <c r="M102" s="211"/>
      <c r="N102" s="219"/>
      <c r="O102" s="217"/>
      <c r="P102" s="145"/>
      <c r="Q102" s="150"/>
      <c r="R102" s="150"/>
      <c r="S102" s="150"/>
      <c r="T102" s="150"/>
      <c r="U102" s="150"/>
      <c r="V102" s="150"/>
      <c r="W102" s="150"/>
      <c r="X102" s="150"/>
      <c r="Y102" s="150"/>
    </row>
    <row r="103" spans="2:25" ht="15" thickBot="1" x14ac:dyDescent="0.4">
      <c r="B103" s="203"/>
      <c r="C103" s="204"/>
      <c r="D103" s="204"/>
      <c r="E103" s="203"/>
      <c r="F103" s="228"/>
      <c r="G103" s="206"/>
      <c r="H103" s="230"/>
      <c r="I103" s="233"/>
      <c r="J103" s="208"/>
      <c r="K103" s="209"/>
      <c r="L103" s="210"/>
      <c r="M103" s="211"/>
      <c r="N103" s="219"/>
      <c r="O103" s="217"/>
      <c r="P103" s="145"/>
      <c r="Q103" s="150"/>
      <c r="R103" s="150"/>
      <c r="S103" s="150"/>
      <c r="T103" s="150"/>
      <c r="U103" s="150"/>
      <c r="V103" s="150"/>
      <c r="W103" s="150"/>
      <c r="X103" s="150"/>
      <c r="Y103" s="150"/>
    </row>
    <row r="104" spans="2:25" ht="15" thickBot="1" x14ac:dyDescent="0.4">
      <c r="B104" s="203"/>
      <c r="C104" s="204"/>
      <c r="D104" s="204"/>
      <c r="E104" s="203"/>
      <c r="F104" s="228"/>
      <c r="G104" s="206"/>
      <c r="H104" s="234"/>
      <c r="I104" s="216"/>
      <c r="J104" s="208"/>
      <c r="K104" s="209"/>
      <c r="L104" s="210"/>
      <c r="M104" s="211"/>
      <c r="N104" s="219"/>
      <c r="O104" s="217"/>
      <c r="P104" s="145"/>
      <c r="Q104" s="150"/>
      <c r="R104" s="150"/>
      <c r="S104" s="150"/>
      <c r="T104" s="150"/>
      <c r="U104" s="150"/>
      <c r="V104" s="150"/>
      <c r="W104" s="150"/>
      <c r="X104" s="150"/>
      <c r="Y104" s="150"/>
    </row>
    <row r="105" spans="2:25" ht="15" thickBot="1" x14ac:dyDescent="0.4">
      <c r="B105" s="203"/>
      <c r="C105" s="204"/>
      <c r="D105" s="204"/>
      <c r="E105" s="203"/>
      <c r="F105" s="228"/>
      <c r="G105" s="206"/>
      <c r="H105" s="230"/>
      <c r="I105" s="233"/>
      <c r="J105" s="208"/>
      <c r="K105" s="209"/>
      <c r="L105" s="210"/>
      <c r="M105" s="211"/>
      <c r="N105" s="219"/>
      <c r="O105" s="217"/>
      <c r="P105" s="145"/>
      <c r="Q105" s="150"/>
      <c r="R105" s="150"/>
      <c r="S105" s="150"/>
      <c r="T105" s="150"/>
      <c r="U105" s="150"/>
      <c r="V105" s="150"/>
      <c r="W105" s="150"/>
      <c r="X105" s="150"/>
      <c r="Y105" s="150"/>
    </row>
    <row r="106" spans="2:25" ht="15" thickBot="1" x14ac:dyDescent="0.4">
      <c r="B106" s="203"/>
      <c r="C106" s="204"/>
      <c r="D106" s="204"/>
      <c r="E106" s="203"/>
      <c r="F106" s="228"/>
      <c r="G106" s="206"/>
      <c r="H106" s="234"/>
      <c r="I106" s="216"/>
      <c r="J106" s="208"/>
      <c r="K106" s="209"/>
      <c r="L106" s="210"/>
      <c r="M106" s="211"/>
      <c r="N106" s="219"/>
      <c r="O106" s="217"/>
      <c r="P106" s="145"/>
      <c r="Q106" s="150"/>
      <c r="R106" s="150"/>
      <c r="S106" s="150"/>
      <c r="T106" s="150"/>
      <c r="U106" s="150"/>
      <c r="V106" s="150"/>
      <c r="W106" s="150"/>
      <c r="X106" s="150"/>
      <c r="Y106" s="150"/>
    </row>
    <row r="107" spans="2:25" ht="15" thickBot="1" x14ac:dyDescent="0.4">
      <c r="B107" s="203"/>
      <c r="C107" s="204"/>
      <c r="D107" s="204"/>
      <c r="E107" s="203"/>
      <c r="F107" s="228"/>
      <c r="G107" s="206"/>
      <c r="H107" s="230"/>
      <c r="I107" s="233"/>
      <c r="J107" s="208"/>
      <c r="K107" s="209"/>
      <c r="L107" s="210"/>
      <c r="M107" s="211"/>
      <c r="N107" s="219"/>
      <c r="O107" s="217"/>
      <c r="P107" s="145"/>
      <c r="Q107" s="150"/>
      <c r="R107" s="150"/>
      <c r="S107" s="150"/>
      <c r="T107" s="150"/>
      <c r="U107" s="150"/>
      <c r="V107" s="150"/>
      <c r="W107" s="150"/>
      <c r="X107" s="150"/>
      <c r="Y107" s="150"/>
    </row>
    <row r="108" spans="2:25" ht="15" thickBot="1" x14ac:dyDescent="0.4">
      <c r="B108" s="203"/>
      <c r="C108" s="204"/>
      <c r="D108" s="204"/>
      <c r="E108" s="203"/>
      <c r="F108" s="228"/>
      <c r="G108" s="206"/>
      <c r="H108" s="234"/>
      <c r="I108" s="216"/>
      <c r="J108" s="208"/>
      <c r="K108" s="209"/>
      <c r="L108" s="210"/>
      <c r="M108" s="211"/>
      <c r="N108" s="219"/>
      <c r="O108" s="217"/>
      <c r="P108" s="145"/>
      <c r="Q108" s="150"/>
      <c r="R108" s="150"/>
      <c r="S108" s="150"/>
      <c r="T108" s="150"/>
      <c r="U108" s="150"/>
      <c r="V108" s="150"/>
      <c r="W108" s="150"/>
      <c r="X108" s="150"/>
      <c r="Y108" s="150"/>
    </row>
    <row r="109" spans="2:25" ht="15" thickBot="1" x14ac:dyDescent="0.4">
      <c r="B109" s="203"/>
      <c r="C109" s="204"/>
      <c r="D109" s="204"/>
      <c r="E109" s="203"/>
      <c r="F109" s="228"/>
      <c r="G109" s="206"/>
      <c r="H109" s="230"/>
      <c r="I109" s="233"/>
      <c r="J109" s="208"/>
      <c r="K109" s="209"/>
      <c r="L109" s="210"/>
      <c r="M109" s="211"/>
      <c r="N109" s="219"/>
      <c r="O109" s="217"/>
      <c r="P109" s="145"/>
      <c r="Q109" s="150"/>
      <c r="R109" s="150"/>
      <c r="S109" s="150"/>
      <c r="T109" s="150"/>
      <c r="U109" s="150"/>
      <c r="V109" s="150"/>
      <c r="W109" s="150"/>
      <c r="X109" s="150"/>
      <c r="Y109" s="150"/>
    </row>
    <row r="110" spans="2:25" ht="15" thickBot="1" x14ac:dyDescent="0.4">
      <c r="B110" s="203"/>
      <c r="C110" s="204"/>
      <c r="D110" s="204"/>
      <c r="E110" s="203"/>
      <c r="F110" s="228"/>
      <c r="G110" s="206"/>
      <c r="H110" s="234"/>
      <c r="I110" s="216"/>
      <c r="J110" s="208"/>
      <c r="K110" s="209"/>
      <c r="L110" s="210"/>
      <c r="M110" s="211"/>
      <c r="N110" s="219"/>
      <c r="O110" s="217"/>
      <c r="P110" s="145"/>
      <c r="Q110" s="150"/>
      <c r="R110" s="150"/>
      <c r="S110" s="150"/>
      <c r="T110" s="150"/>
      <c r="U110" s="150"/>
      <c r="V110" s="150"/>
      <c r="W110" s="150"/>
      <c r="X110" s="150"/>
      <c r="Y110" s="150"/>
    </row>
    <row r="111" spans="2:25" ht="15" thickBot="1" x14ac:dyDescent="0.4">
      <c r="B111" s="203"/>
      <c r="C111" s="204"/>
      <c r="D111" s="204"/>
      <c r="E111" s="203"/>
      <c r="F111" s="228"/>
      <c r="G111" s="206"/>
      <c r="H111" s="230"/>
      <c r="I111" s="233"/>
      <c r="J111" s="208"/>
      <c r="K111" s="209"/>
      <c r="L111" s="210"/>
      <c r="M111" s="211"/>
      <c r="N111" s="219"/>
      <c r="O111" s="217"/>
      <c r="P111" s="145"/>
      <c r="Q111" s="150"/>
      <c r="R111" s="150"/>
      <c r="S111" s="150"/>
      <c r="T111" s="150"/>
      <c r="U111" s="150"/>
      <c r="V111" s="150"/>
      <c r="W111" s="150"/>
      <c r="X111" s="150"/>
      <c r="Y111" s="150"/>
    </row>
    <row r="112" spans="2:25" ht="15" thickBot="1" x14ac:dyDescent="0.4">
      <c r="B112" s="203"/>
      <c r="C112" s="204"/>
      <c r="D112" s="204"/>
      <c r="E112" s="203"/>
      <c r="F112" s="228"/>
      <c r="G112" s="206"/>
      <c r="H112" s="234"/>
      <c r="I112" s="216"/>
      <c r="J112" s="208"/>
      <c r="K112" s="209"/>
      <c r="L112" s="210"/>
      <c r="M112" s="211"/>
      <c r="N112" s="219"/>
      <c r="O112" s="217"/>
      <c r="P112" s="145"/>
      <c r="Q112" s="150"/>
      <c r="R112" s="150"/>
      <c r="S112" s="150"/>
      <c r="T112" s="150"/>
      <c r="U112" s="150"/>
      <c r="V112" s="150"/>
      <c r="W112" s="150"/>
      <c r="X112" s="150"/>
      <c r="Y112" s="150"/>
    </row>
    <row r="113" spans="2:25" ht="15" thickBot="1" x14ac:dyDescent="0.4">
      <c r="B113" s="203"/>
      <c r="C113" s="204"/>
      <c r="D113" s="204"/>
      <c r="E113" s="203"/>
      <c r="F113" s="228"/>
      <c r="G113" s="206"/>
      <c r="H113" s="230"/>
      <c r="I113" s="233"/>
      <c r="J113" s="208"/>
      <c r="K113" s="209"/>
      <c r="L113" s="210"/>
      <c r="M113" s="211"/>
      <c r="N113" s="219"/>
      <c r="O113" s="217"/>
      <c r="P113" s="145"/>
      <c r="Q113" s="150"/>
      <c r="R113" s="150"/>
      <c r="S113" s="150"/>
      <c r="T113" s="150"/>
      <c r="U113" s="150"/>
      <c r="V113" s="150"/>
      <c r="W113" s="150"/>
      <c r="X113" s="150"/>
      <c r="Y113" s="150"/>
    </row>
    <row r="114" spans="2:25" ht="15" thickBot="1" x14ac:dyDescent="0.4">
      <c r="B114" s="203"/>
      <c r="C114" s="204"/>
      <c r="D114" s="204"/>
      <c r="E114" s="203"/>
      <c r="F114" s="228"/>
      <c r="G114" s="206"/>
      <c r="H114" s="234"/>
      <c r="I114" s="216"/>
      <c r="J114" s="208"/>
      <c r="K114" s="209"/>
      <c r="L114" s="210"/>
      <c r="M114" s="211"/>
      <c r="N114" s="219"/>
      <c r="O114" s="217"/>
      <c r="P114" s="145"/>
      <c r="Q114" s="150"/>
      <c r="R114" s="150"/>
      <c r="S114" s="150"/>
      <c r="T114" s="150"/>
      <c r="U114" s="150"/>
      <c r="V114" s="150"/>
      <c r="W114" s="150"/>
      <c r="X114" s="150"/>
      <c r="Y114" s="150"/>
    </row>
    <row r="115" spans="2:25" ht="15" thickBot="1" x14ac:dyDescent="0.4">
      <c r="B115" s="203"/>
      <c r="C115" s="204"/>
      <c r="D115" s="204"/>
      <c r="E115" s="203"/>
      <c r="F115" s="228"/>
      <c r="G115" s="206"/>
      <c r="H115" s="230"/>
      <c r="I115" s="233"/>
      <c r="J115" s="208"/>
      <c r="K115" s="209"/>
      <c r="L115" s="210"/>
      <c r="M115" s="211"/>
      <c r="N115" s="219"/>
      <c r="O115" s="217"/>
      <c r="P115" s="145"/>
      <c r="Q115" s="150"/>
      <c r="R115" s="150"/>
      <c r="S115" s="150"/>
      <c r="T115" s="150"/>
      <c r="U115" s="150"/>
      <c r="V115" s="150"/>
      <c r="W115" s="150"/>
      <c r="X115" s="150"/>
      <c r="Y115" s="150"/>
    </row>
    <row r="116" spans="2:25" ht="15" thickBot="1" x14ac:dyDescent="0.4">
      <c r="B116" s="203"/>
      <c r="C116" s="204"/>
      <c r="D116" s="204"/>
      <c r="E116" s="203"/>
      <c r="F116" s="228"/>
      <c r="G116" s="206"/>
      <c r="H116" s="234"/>
      <c r="I116" s="216"/>
      <c r="J116" s="208"/>
      <c r="K116" s="209"/>
      <c r="L116" s="210"/>
      <c r="M116" s="211"/>
      <c r="N116" s="219"/>
      <c r="O116" s="217"/>
      <c r="P116" s="145"/>
      <c r="Q116" s="150"/>
      <c r="R116" s="150"/>
      <c r="S116" s="150"/>
      <c r="T116" s="150"/>
      <c r="U116" s="150"/>
      <c r="V116" s="150"/>
      <c r="W116" s="150"/>
      <c r="X116" s="150"/>
      <c r="Y116" s="150"/>
    </row>
    <row r="117" spans="2:25" ht="15" thickBot="1" x14ac:dyDescent="0.4">
      <c r="B117" s="203"/>
      <c r="C117" s="204"/>
      <c r="D117" s="204"/>
      <c r="E117" s="203"/>
      <c r="F117" s="228"/>
      <c r="G117" s="206"/>
      <c r="H117" s="230"/>
      <c r="I117" s="233"/>
      <c r="J117" s="208"/>
      <c r="K117" s="209"/>
      <c r="L117" s="210"/>
      <c r="M117" s="211"/>
      <c r="N117" s="219"/>
      <c r="O117" s="217"/>
      <c r="P117" s="145"/>
      <c r="Q117" s="150"/>
      <c r="R117" s="150"/>
      <c r="S117" s="150"/>
      <c r="T117" s="150"/>
      <c r="U117" s="150"/>
      <c r="V117" s="150"/>
      <c r="W117" s="150"/>
      <c r="X117" s="150"/>
      <c r="Y117" s="150"/>
    </row>
    <row r="118" spans="2:25" ht="15" thickBot="1" x14ac:dyDescent="0.4">
      <c r="B118" s="203"/>
      <c r="C118" s="204"/>
      <c r="D118" s="204"/>
      <c r="E118" s="203"/>
      <c r="F118" s="228"/>
      <c r="G118" s="206"/>
      <c r="H118" s="234"/>
      <c r="I118" s="216"/>
      <c r="J118" s="208"/>
      <c r="K118" s="209"/>
      <c r="L118" s="210"/>
      <c r="M118" s="211"/>
      <c r="N118" s="219"/>
      <c r="O118" s="217"/>
      <c r="P118" s="145"/>
      <c r="Q118" s="150"/>
      <c r="R118" s="150"/>
      <c r="S118" s="150"/>
      <c r="T118" s="150"/>
      <c r="U118" s="150"/>
      <c r="V118" s="150"/>
      <c r="W118" s="150"/>
      <c r="X118" s="150"/>
      <c r="Y118" s="150"/>
    </row>
    <row r="119" spans="2:25" ht="15" thickBot="1" x14ac:dyDescent="0.4">
      <c r="B119" s="203"/>
      <c r="C119" s="204"/>
      <c r="D119" s="204"/>
      <c r="E119" s="203"/>
      <c r="F119" s="228"/>
      <c r="G119" s="206"/>
      <c r="H119" s="230"/>
      <c r="I119" s="233"/>
      <c r="J119" s="208"/>
      <c r="K119" s="209"/>
      <c r="L119" s="210"/>
      <c r="M119" s="211"/>
      <c r="N119" s="219"/>
      <c r="O119" s="217"/>
      <c r="P119" s="145"/>
      <c r="Q119" s="150"/>
      <c r="R119" s="150"/>
      <c r="S119" s="150"/>
      <c r="T119" s="150"/>
      <c r="U119" s="150"/>
      <c r="V119" s="150"/>
      <c r="W119" s="150"/>
      <c r="X119" s="150"/>
      <c r="Y119" s="150"/>
    </row>
    <row r="120" spans="2:25" ht="15" thickBot="1" x14ac:dyDescent="0.4">
      <c r="B120" s="203"/>
      <c r="C120" s="204"/>
      <c r="D120" s="204"/>
      <c r="E120" s="203"/>
      <c r="F120" s="228"/>
      <c r="G120" s="206"/>
      <c r="H120" s="234"/>
      <c r="I120" s="216"/>
      <c r="J120" s="208"/>
      <c r="K120" s="209"/>
      <c r="L120" s="210"/>
      <c r="M120" s="211"/>
      <c r="N120" s="219"/>
      <c r="O120" s="217"/>
      <c r="P120" s="145"/>
      <c r="Q120" s="150"/>
      <c r="R120" s="150"/>
      <c r="S120" s="150"/>
      <c r="T120" s="150"/>
      <c r="U120" s="150"/>
      <c r="V120" s="150"/>
      <c r="W120" s="150"/>
      <c r="X120" s="150"/>
      <c r="Y120" s="150"/>
    </row>
    <row r="121" spans="2:25" ht="15" thickBot="1" x14ac:dyDescent="0.4">
      <c r="B121" s="203"/>
      <c r="C121" s="204"/>
      <c r="D121" s="204"/>
      <c r="E121" s="203"/>
      <c r="F121" s="228"/>
      <c r="G121" s="206"/>
      <c r="H121" s="230"/>
      <c r="I121" s="233"/>
      <c r="J121" s="208"/>
      <c r="K121" s="209"/>
      <c r="L121" s="210"/>
      <c r="M121" s="211"/>
      <c r="N121" s="219"/>
      <c r="O121" s="217"/>
      <c r="P121" s="145"/>
      <c r="Q121" s="150"/>
      <c r="R121" s="150"/>
      <c r="S121" s="150"/>
      <c r="T121" s="150"/>
      <c r="U121" s="150"/>
      <c r="V121" s="150"/>
      <c r="W121" s="150"/>
      <c r="X121" s="150"/>
      <c r="Y121" s="150"/>
    </row>
    <row r="122" spans="2:25" ht="15" thickBot="1" x14ac:dyDescent="0.4">
      <c r="B122" s="203"/>
      <c r="C122" s="204"/>
      <c r="D122" s="204"/>
      <c r="E122" s="203"/>
      <c r="F122" s="228"/>
      <c r="G122" s="206"/>
      <c r="H122" s="234"/>
      <c r="I122" s="216"/>
      <c r="J122" s="208"/>
      <c r="K122" s="209"/>
      <c r="L122" s="210"/>
      <c r="M122" s="211"/>
      <c r="N122" s="219"/>
      <c r="O122" s="217"/>
      <c r="P122" s="145"/>
      <c r="Q122" s="150"/>
      <c r="R122" s="150"/>
      <c r="S122" s="150"/>
      <c r="T122" s="150"/>
      <c r="U122" s="150"/>
      <c r="V122" s="150"/>
      <c r="W122" s="150"/>
      <c r="X122" s="150"/>
      <c r="Y122" s="150"/>
    </row>
    <row r="123" spans="2:25" ht="15" thickBot="1" x14ac:dyDescent="0.4">
      <c r="B123" s="203"/>
      <c r="C123" s="204"/>
      <c r="D123" s="204"/>
      <c r="E123" s="203"/>
      <c r="F123" s="228"/>
      <c r="G123" s="206"/>
      <c r="H123" s="230"/>
      <c r="I123" s="233"/>
      <c r="J123" s="208"/>
      <c r="K123" s="209"/>
      <c r="L123" s="210"/>
      <c r="M123" s="211"/>
      <c r="N123" s="219"/>
      <c r="O123" s="217"/>
      <c r="P123" s="145"/>
      <c r="Q123" s="150"/>
      <c r="R123" s="150"/>
      <c r="S123" s="150"/>
      <c r="T123" s="150"/>
      <c r="U123" s="150"/>
      <c r="V123" s="150"/>
      <c r="W123" s="150"/>
      <c r="X123" s="150"/>
      <c r="Y123" s="150"/>
    </row>
    <row r="124" spans="2:25" ht="15" thickBot="1" x14ac:dyDescent="0.4">
      <c r="B124" s="203"/>
      <c r="C124" s="204"/>
      <c r="D124" s="204"/>
      <c r="E124" s="203"/>
      <c r="F124" s="228"/>
      <c r="G124" s="206"/>
      <c r="H124" s="234"/>
      <c r="I124" s="216"/>
      <c r="J124" s="208"/>
      <c r="K124" s="209"/>
      <c r="L124" s="210"/>
      <c r="M124" s="211"/>
      <c r="N124" s="219"/>
      <c r="O124" s="217"/>
      <c r="P124" s="145"/>
      <c r="Q124" s="150"/>
      <c r="R124" s="150"/>
      <c r="S124" s="150"/>
      <c r="T124" s="150"/>
      <c r="U124" s="150"/>
      <c r="V124" s="150"/>
      <c r="W124" s="150"/>
      <c r="X124" s="150"/>
      <c r="Y124" s="150"/>
    </row>
    <row r="125" spans="2:25" ht="15" thickBot="1" x14ac:dyDescent="0.4">
      <c r="B125" s="203"/>
      <c r="C125" s="204"/>
      <c r="D125" s="204"/>
      <c r="E125" s="203"/>
      <c r="F125" s="228"/>
      <c r="G125" s="206"/>
      <c r="H125" s="230"/>
      <c r="I125" s="233"/>
      <c r="J125" s="208"/>
      <c r="K125" s="209"/>
      <c r="L125" s="210"/>
      <c r="M125" s="211"/>
      <c r="N125" s="219"/>
      <c r="O125" s="217"/>
      <c r="P125" s="145"/>
      <c r="Q125" s="150"/>
      <c r="R125" s="150"/>
      <c r="S125" s="150"/>
      <c r="T125" s="150"/>
      <c r="U125" s="150"/>
      <c r="V125" s="150"/>
      <c r="W125" s="150"/>
      <c r="X125" s="150"/>
      <c r="Y125" s="150"/>
    </row>
    <row r="126" spans="2:25" ht="15" thickBot="1" x14ac:dyDescent="0.4">
      <c r="B126" s="203"/>
      <c r="C126" s="204"/>
      <c r="D126" s="204"/>
      <c r="E126" s="203"/>
      <c r="F126" s="228"/>
      <c r="G126" s="206"/>
      <c r="H126" s="234"/>
      <c r="I126" s="216"/>
      <c r="J126" s="208"/>
      <c r="K126" s="209"/>
      <c r="L126" s="210"/>
      <c r="M126" s="211"/>
      <c r="N126" s="219"/>
      <c r="O126" s="217"/>
      <c r="P126" s="145"/>
      <c r="Q126" s="150"/>
      <c r="R126" s="150"/>
      <c r="S126" s="150"/>
      <c r="T126" s="150"/>
      <c r="U126" s="150"/>
      <c r="V126" s="150"/>
      <c r="W126" s="150"/>
      <c r="X126" s="150"/>
      <c r="Y126" s="150"/>
    </row>
    <row r="127" spans="2:25" ht="15" thickBot="1" x14ac:dyDescent="0.4">
      <c r="B127" s="203"/>
      <c r="C127" s="204"/>
      <c r="D127" s="204"/>
      <c r="E127" s="203"/>
      <c r="F127" s="228"/>
      <c r="G127" s="206"/>
      <c r="H127" s="230"/>
      <c r="I127" s="233"/>
      <c r="J127" s="208"/>
      <c r="K127" s="209"/>
      <c r="L127" s="210"/>
      <c r="M127" s="211"/>
      <c r="N127" s="219"/>
      <c r="O127" s="217"/>
      <c r="P127" s="145"/>
      <c r="Q127" s="150"/>
      <c r="R127" s="150"/>
      <c r="S127" s="150"/>
      <c r="T127" s="150"/>
      <c r="U127" s="150"/>
      <c r="V127" s="150"/>
      <c r="W127" s="150"/>
      <c r="X127" s="150"/>
      <c r="Y127" s="150"/>
    </row>
    <row r="128" spans="2:25" ht="15" thickBot="1" x14ac:dyDescent="0.4">
      <c r="B128" s="203"/>
      <c r="C128" s="204"/>
      <c r="D128" s="204"/>
      <c r="E128" s="203"/>
      <c r="F128" s="228"/>
      <c r="G128" s="206"/>
      <c r="H128" s="234"/>
      <c r="I128" s="216"/>
      <c r="J128" s="208"/>
      <c r="K128" s="209"/>
      <c r="L128" s="210"/>
      <c r="M128" s="211"/>
      <c r="N128" s="219"/>
      <c r="O128" s="217"/>
      <c r="P128" s="145"/>
      <c r="Q128" s="150"/>
      <c r="R128" s="150"/>
      <c r="S128" s="150"/>
      <c r="T128" s="150"/>
      <c r="U128" s="150"/>
      <c r="V128" s="150"/>
      <c r="W128" s="150"/>
      <c r="X128" s="150"/>
      <c r="Y128" s="150"/>
    </row>
    <row r="129" spans="1:26" ht="15" thickBot="1" x14ac:dyDescent="0.4">
      <c r="B129" s="203"/>
      <c r="C129" s="204"/>
      <c r="D129" s="204"/>
      <c r="E129" s="203"/>
      <c r="F129" s="228"/>
      <c r="G129" s="206"/>
      <c r="H129" s="230"/>
      <c r="I129" s="233"/>
      <c r="J129" s="208"/>
      <c r="K129" s="209"/>
      <c r="L129" s="210"/>
      <c r="M129" s="211"/>
      <c r="N129" s="219"/>
      <c r="O129" s="217"/>
      <c r="P129" s="145"/>
      <c r="Q129" s="150"/>
      <c r="R129" s="150"/>
      <c r="S129" s="150"/>
      <c r="T129" s="150"/>
      <c r="U129" s="150"/>
      <c r="V129" s="150"/>
      <c r="W129" s="150"/>
      <c r="X129" s="150"/>
      <c r="Y129" s="150"/>
    </row>
    <row r="130" spans="1:26" ht="15" thickBot="1" x14ac:dyDescent="0.4">
      <c r="B130" s="203"/>
      <c r="C130" s="204"/>
      <c r="D130" s="204"/>
      <c r="E130" s="203"/>
      <c r="F130" s="228"/>
      <c r="G130" s="206"/>
      <c r="H130" s="234"/>
      <c r="I130" s="216"/>
      <c r="J130" s="208"/>
      <c r="K130" s="209"/>
      <c r="L130" s="210"/>
      <c r="M130" s="211"/>
      <c r="N130" s="219"/>
      <c r="O130" s="217"/>
      <c r="P130" s="145"/>
      <c r="Q130" s="150"/>
      <c r="R130" s="150"/>
      <c r="S130" s="150"/>
      <c r="T130" s="150"/>
      <c r="U130" s="150"/>
      <c r="V130" s="150"/>
      <c r="W130" s="150"/>
      <c r="X130" s="150"/>
      <c r="Y130" s="150"/>
    </row>
    <row r="131" spans="1:26" ht="15" thickBot="1" x14ac:dyDescent="0.4">
      <c r="B131" s="203"/>
      <c r="C131" s="204"/>
      <c r="D131" s="204"/>
      <c r="E131" s="203"/>
      <c r="F131" s="228"/>
      <c r="G131" s="206"/>
      <c r="H131" s="230"/>
      <c r="I131" s="233"/>
      <c r="J131" s="208"/>
      <c r="K131" s="209"/>
      <c r="L131" s="210"/>
      <c r="M131" s="211"/>
      <c r="N131" s="219"/>
      <c r="O131" s="217"/>
      <c r="P131" s="145"/>
      <c r="Q131" s="150"/>
      <c r="R131" s="150"/>
      <c r="S131" s="150"/>
      <c r="T131" s="150"/>
      <c r="U131" s="150"/>
      <c r="V131" s="150"/>
      <c r="W131" s="150"/>
      <c r="X131" s="150"/>
      <c r="Y131" s="150"/>
    </row>
    <row r="132" spans="1:26" ht="15" thickBot="1" x14ac:dyDescent="0.4">
      <c r="B132" s="203"/>
      <c r="C132" s="204"/>
      <c r="D132" s="204"/>
      <c r="E132" s="203"/>
      <c r="F132" s="228"/>
      <c r="G132" s="206"/>
      <c r="H132" s="234"/>
      <c r="I132" s="216"/>
      <c r="J132" s="208"/>
      <c r="K132" s="209"/>
      <c r="L132" s="210"/>
      <c r="M132" s="211"/>
      <c r="N132" s="219"/>
      <c r="O132" s="217"/>
      <c r="P132" s="145"/>
      <c r="Q132" s="150"/>
      <c r="R132" s="150"/>
      <c r="S132" s="150"/>
      <c r="T132" s="150"/>
      <c r="U132" s="150"/>
      <c r="V132" s="150"/>
      <c r="W132" s="150"/>
      <c r="X132" s="150"/>
      <c r="Y132" s="150"/>
    </row>
    <row r="133" spans="1:26" ht="15" thickBot="1" x14ac:dyDescent="0.4">
      <c r="B133" s="203"/>
      <c r="C133" s="204"/>
      <c r="D133" s="204"/>
      <c r="E133" s="203"/>
      <c r="F133" s="228"/>
      <c r="G133" s="206"/>
      <c r="H133" s="230"/>
      <c r="I133" s="233"/>
      <c r="J133" s="208"/>
      <c r="K133" s="209"/>
      <c r="L133" s="210"/>
      <c r="M133" s="211"/>
      <c r="N133" s="219"/>
      <c r="O133" s="217"/>
      <c r="P133" s="145"/>
      <c r="Q133" s="150"/>
      <c r="R133" s="150"/>
      <c r="S133" s="150"/>
      <c r="T133" s="150"/>
      <c r="U133" s="150"/>
      <c r="V133" s="150"/>
      <c r="W133" s="150"/>
      <c r="X133" s="150"/>
      <c r="Y133" s="150"/>
    </row>
    <row r="134" spans="1:26" ht="15" thickBot="1" x14ac:dyDescent="0.4">
      <c r="B134" s="203"/>
      <c r="C134" s="204"/>
      <c r="D134" s="204"/>
      <c r="E134" s="203"/>
      <c r="F134" s="228"/>
      <c r="G134" s="206"/>
      <c r="H134" s="234"/>
      <c r="I134" s="216"/>
      <c r="J134" s="208"/>
      <c r="K134" s="209"/>
      <c r="L134" s="210"/>
      <c r="M134" s="211"/>
      <c r="N134" s="219"/>
      <c r="O134" s="217"/>
      <c r="P134" s="145"/>
      <c r="Q134" s="150"/>
      <c r="R134" s="150"/>
      <c r="S134" s="150"/>
      <c r="T134" s="150"/>
      <c r="U134" s="150"/>
      <c r="V134" s="150"/>
      <c r="W134" s="150"/>
      <c r="X134" s="150"/>
      <c r="Y134" s="150"/>
    </row>
    <row r="135" spans="1:26" ht="15" thickBot="1" x14ac:dyDescent="0.4">
      <c r="B135" s="203"/>
      <c r="C135" s="204"/>
      <c r="D135" s="204"/>
      <c r="E135" s="203"/>
      <c r="F135" s="228"/>
      <c r="G135" s="206"/>
      <c r="H135" s="230"/>
      <c r="I135" s="233"/>
      <c r="J135" s="208"/>
      <c r="K135" s="209"/>
      <c r="L135" s="210"/>
      <c r="M135" s="211"/>
      <c r="N135" s="219"/>
      <c r="O135" s="217"/>
      <c r="P135" s="145"/>
      <c r="Q135" s="150"/>
      <c r="R135" s="150"/>
      <c r="S135" s="150"/>
      <c r="T135" s="150"/>
      <c r="U135" s="150"/>
      <c r="V135" s="150"/>
      <c r="W135" s="150"/>
      <c r="X135" s="150"/>
      <c r="Y135" s="150"/>
    </row>
    <row r="136" spans="1:26" ht="15" thickBot="1" x14ac:dyDescent="0.4">
      <c r="B136" s="203"/>
      <c r="C136" s="204"/>
      <c r="D136" s="204"/>
      <c r="E136" s="203"/>
      <c r="F136" s="228"/>
      <c r="G136" s="206"/>
      <c r="H136" s="234"/>
      <c r="I136" s="216"/>
      <c r="J136" s="208"/>
      <c r="K136" s="209"/>
      <c r="L136" s="210"/>
      <c r="M136" s="211"/>
      <c r="N136" s="219"/>
      <c r="O136" s="217"/>
      <c r="P136" s="145"/>
      <c r="Q136" s="150"/>
      <c r="R136" s="150"/>
      <c r="S136" s="150"/>
      <c r="T136" s="150"/>
      <c r="U136" s="150"/>
      <c r="V136" s="150"/>
      <c r="W136" s="150"/>
      <c r="X136" s="150"/>
      <c r="Y136" s="150"/>
    </row>
    <row r="137" spans="1:26" ht="15" thickBot="1" x14ac:dyDescent="0.4">
      <c r="B137" s="203"/>
      <c r="C137" s="204"/>
      <c r="D137" s="204"/>
      <c r="E137" s="203"/>
      <c r="F137" s="228"/>
      <c r="G137" s="206"/>
      <c r="H137" s="230"/>
      <c r="I137" s="233"/>
      <c r="J137" s="208"/>
      <c r="K137" s="209"/>
      <c r="L137" s="210"/>
      <c r="M137" s="211"/>
      <c r="N137" s="219"/>
      <c r="O137" s="217"/>
      <c r="P137" s="145"/>
      <c r="Q137" s="150"/>
      <c r="R137" s="150"/>
      <c r="S137" s="150"/>
      <c r="T137" s="150"/>
      <c r="U137" s="150"/>
      <c r="V137" s="150"/>
      <c r="W137" s="150"/>
      <c r="X137" s="150"/>
      <c r="Y137" s="150"/>
    </row>
    <row r="138" spans="1:26" s="238" customFormat="1" ht="15" thickBot="1" x14ac:dyDescent="0.4">
      <c r="A138" s="145"/>
      <c r="B138" s="203"/>
      <c r="C138" s="204"/>
      <c r="D138" s="204"/>
      <c r="E138" s="203"/>
      <c r="F138" s="228"/>
      <c r="G138" s="206"/>
      <c r="H138" s="230"/>
      <c r="I138" s="235"/>
      <c r="J138" s="208"/>
      <c r="K138" s="209"/>
      <c r="L138" s="236"/>
      <c r="M138" s="237"/>
      <c r="N138" s="219"/>
      <c r="O138" s="217"/>
      <c r="P138" s="145"/>
      <c r="Q138" s="150"/>
      <c r="R138" s="150"/>
      <c r="S138" s="150"/>
      <c r="T138" s="150"/>
      <c r="U138" s="150"/>
      <c r="V138" s="150"/>
      <c r="W138" s="150"/>
      <c r="X138" s="150"/>
      <c r="Y138" s="150"/>
      <c r="Z138" s="151"/>
    </row>
    <row r="139" spans="1:26" s="238" customFormat="1" ht="15" thickBot="1" x14ac:dyDescent="0.4">
      <c r="A139" s="145"/>
      <c r="B139" s="203"/>
      <c r="C139" s="204"/>
      <c r="D139" s="204"/>
      <c r="E139" s="203"/>
      <c r="F139" s="228"/>
      <c r="G139" s="206"/>
      <c r="H139" s="230"/>
      <c r="I139" s="235"/>
      <c r="J139" s="208"/>
      <c r="K139" s="209"/>
      <c r="L139" s="210"/>
      <c r="M139" s="237"/>
      <c r="N139" s="219"/>
      <c r="O139" s="217"/>
      <c r="P139" s="145"/>
      <c r="Q139" s="150"/>
      <c r="R139" s="150"/>
      <c r="S139" s="150"/>
      <c r="T139" s="150"/>
      <c r="U139" s="150"/>
      <c r="V139" s="150"/>
      <c r="W139" s="150"/>
      <c r="X139" s="150"/>
      <c r="Y139" s="150"/>
      <c r="Z139" s="151"/>
    </row>
    <row r="140" spans="1:26" s="238" customFormat="1" ht="15" thickBot="1" x14ac:dyDescent="0.4">
      <c r="A140" s="145"/>
      <c r="B140" s="203"/>
      <c r="C140" s="204"/>
      <c r="D140" s="204"/>
      <c r="E140" s="203"/>
      <c r="F140" s="228"/>
      <c r="G140" s="206"/>
      <c r="H140" s="230"/>
      <c r="I140" s="235"/>
      <c r="J140" s="208"/>
      <c r="K140" s="209"/>
      <c r="L140" s="210"/>
      <c r="M140" s="237"/>
      <c r="N140" s="219"/>
      <c r="O140" s="217"/>
      <c r="P140" s="145"/>
      <c r="Q140" s="150"/>
      <c r="R140" s="150"/>
      <c r="S140" s="150"/>
      <c r="T140" s="150"/>
      <c r="U140" s="150"/>
      <c r="V140" s="150"/>
      <c r="W140" s="150"/>
      <c r="X140" s="150"/>
      <c r="Y140" s="150"/>
      <c r="Z140" s="151"/>
    </row>
    <row r="141" spans="1:26" s="238" customFormat="1" ht="15" thickBot="1" x14ac:dyDescent="0.4">
      <c r="A141" s="145"/>
      <c r="B141" s="203"/>
      <c r="C141" s="204"/>
      <c r="D141" s="204"/>
      <c r="E141" s="203"/>
      <c r="F141" s="228"/>
      <c r="G141" s="206"/>
      <c r="H141" s="230"/>
      <c r="I141" s="235"/>
      <c r="J141" s="208"/>
      <c r="K141" s="209"/>
      <c r="L141" s="210"/>
      <c r="M141" s="237"/>
      <c r="N141" s="219"/>
      <c r="O141" s="217"/>
      <c r="P141" s="145"/>
      <c r="Q141" s="150"/>
      <c r="R141" s="150"/>
      <c r="S141" s="150"/>
      <c r="T141" s="150"/>
      <c r="U141" s="150"/>
      <c r="V141" s="150"/>
      <c r="W141" s="150"/>
      <c r="X141" s="150"/>
      <c r="Y141" s="150"/>
      <c r="Z141" s="151"/>
    </row>
    <row r="142" spans="1:26" s="238" customFormat="1" ht="15" thickBot="1" x14ac:dyDescent="0.4">
      <c r="A142" s="145"/>
      <c r="B142" s="203"/>
      <c r="C142" s="204"/>
      <c r="D142" s="204"/>
      <c r="E142" s="203"/>
      <c r="F142" s="228"/>
      <c r="G142" s="206"/>
      <c r="H142" s="230"/>
      <c r="I142" s="235"/>
      <c r="J142" s="208"/>
      <c r="K142" s="209"/>
      <c r="L142" s="210"/>
      <c r="M142" s="237"/>
      <c r="N142" s="219"/>
      <c r="O142" s="217"/>
      <c r="P142" s="145"/>
      <c r="Q142" s="150"/>
      <c r="R142" s="150"/>
      <c r="S142" s="150"/>
      <c r="T142" s="150"/>
      <c r="U142" s="150"/>
      <c r="V142" s="150"/>
      <c r="W142" s="150"/>
      <c r="X142" s="150"/>
      <c r="Y142" s="150"/>
      <c r="Z142" s="151"/>
    </row>
    <row r="143" spans="1:26" s="238" customFormat="1" ht="15" thickBot="1" x14ac:dyDescent="0.4">
      <c r="A143" s="145"/>
      <c r="B143" s="203"/>
      <c r="C143" s="204"/>
      <c r="D143" s="204"/>
      <c r="E143" s="203"/>
      <c r="F143" s="228"/>
      <c r="G143" s="206"/>
      <c r="H143" s="230"/>
      <c r="I143" s="235"/>
      <c r="J143" s="208"/>
      <c r="K143" s="209"/>
      <c r="L143" s="210"/>
      <c r="M143" s="237"/>
      <c r="N143" s="219"/>
      <c r="O143" s="217"/>
      <c r="P143" s="145"/>
      <c r="Q143" s="150"/>
      <c r="R143" s="150"/>
      <c r="S143" s="150"/>
      <c r="T143" s="150"/>
      <c r="U143" s="150"/>
      <c r="V143" s="150"/>
      <c r="W143" s="150"/>
      <c r="X143" s="150"/>
      <c r="Y143" s="150"/>
      <c r="Z143" s="151"/>
    </row>
    <row r="144" spans="1:26" s="240" customFormat="1" ht="15" thickBot="1" x14ac:dyDescent="0.4">
      <c r="A144" s="145"/>
      <c r="B144" s="203"/>
      <c r="C144" s="204"/>
      <c r="D144" s="204"/>
      <c r="E144" s="203"/>
      <c r="F144" s="228"/>
      <c r="G144" s="206"/>
      <c r="H144" s="230"/>
      <c r="I144" s="235"/>
      <c r="J144" s="208"/>
      <c r="K144" s="209"/>
      <c r="L144" s="210"/>
      <c r="M144" s="239"/>
      <c r="N144" s="219"/>
      <c r="O144" s="217"/>
      <c r="P144" s="145"/>
      <c r="Q144" s="150"/>
      <c r="R144" s="150"/>
      <c r="S144" s="150"/>
      <c r="T144" s="150"/>
      <c r="U144" s="150"/>
      <c r="V144" s="150"/>
      <c r="W144" s="150"/>
      <c r="X144" s="150"/>
      <c r="Y144" s="150"/>
      <c r="Z144" s="151"/>
    </row>
    <row r="145" spans="1:26" s="240" customFormat="1" ht="15" thickBot="1" x14ac:dyDescent="0.4">
      <c r="A145" s="145"/>
      <c r="B145" s="203"/>
      <c r="C145" s="204"/>
      <c r="D145" s="204"/>
      <c r="E145" s="203"/>
      <c r="F145" s="228"/>
      <c r="G145" s="206"/>
      <c r="H145" s="230"/>
      <c r="I145" s="235"/>
      <c r="J145" s="208"/>
      <c r="K145" s="209"/>
      <c r="L145" s="210"/>
      <c r="M145" s="239"/>
      <c r="N145" s="219"/>
      <c r="O145" s="217"/>
      <c r="P145" s="145"/>
      <c r="Q145" s="150"/>
      <c r="R145" s="150"/>
      <c r="S145" s="150"/>
      <c r="T145" s="150"/>
      <c r="U145" s="150"/>
      <c r="V145" s="150"/>
      <c r="W145" s="150"/>
      <c r="X145" s="150"/>
      <c r="Y145" s="150"/>
      <c r="Z145" s="151"/>
    </row>
    <row r="146" spans="1:26" s="240" customFormat="1" ht="15" thickBot="1" x14ac:dyDescent="0.4">
      <c r="A146" s="145"/>
      <c r="B146" s="203"/>
      <c r="C146" s="204"/>
      <c r="D146" s="204"/>
      <c r="E146" s="203"/>
      <c r="F146" s="228"/>
      <c r="G146" s="206"/>
      <c r="H146" s="230"/>
      <c r="I146" s="235"/>
      <c r="J146" s="208"/>
      <c r="K146" s="209"/>
      <c r="L146" s="210"/>
      <c r="M146" s="239"/>
      <c r="N146" s="219"/>
      <c r="O146" s="217"/>
      <c r="P146" s="145"/>
      <c r="Q146" s="150"/>
      <c r="R146" s="150"/>
      <c r="S146" s="150"/>
      <c r="T146" s="150"/>
      <c r="U146" s="150"/>
      <c r="V146" s="150"/>
      <c r="W146" s="150"/>
      <c r="X146" s="150"/>
      <c r="Y146" s="150"/>
      <c r="Z146" s="151"/>
    </row>
    <row r="147" spans="1:26" s="240" customFormat="1" ht="15" thickBot="1" x14ac:dyDescent="0.4">
      <c r="A147" s="145"/>
      <c r="B147" s="203"/>
      <c r="C147" s="204"/>
      <c r="D147" s="204"/>
      <c r="E147" s="203"/>
      <c r="F147" s="228"/>
      <c r="G147" s="206"/>
      <c r="H147" s="230"/>
      <c r="I147" s="235"/>
      <c r="J147" s="208"/>
      <c r="K147" s="209"/>
      <c r="L147" s="236"/>
      <c r="M147" s="239"/>
      <c r="N147" s="219"/>
      <c r="O147" s="217"/>
      <c r="P147" s="145"/>
      <c r="Q147" s="150"/>
      <c r="R147" s="150"/>
      <c r="S147" s="150"/>
      <c r="T147" s="150"/>
      <c r="U147" s="150"/>
      <c r="V147" s="150"/>
      <c r="W147" s="150"/>
      <c r="X147" s="150"/>
      <c r="Y147" s="150"/>
      <c r="Z147" s="151"/>
    </row>
    <row r="148" spans="1:26" s="240" customFormat="1" ht="15" thickBot="1" x14ac:dyDescent="0.4">
      <c r="A148" s="145"/>
      <c r="B148" s="203"/>
      <c r="C148" s="204"/>
      <c r="D148" s="204"/>
      <c r="E148" s="203"/>
      <c r="F148" s="228"/>
      <c r="G148" s="206"/>
      <c r="H148" s="230"/>
      <c r="I148" s="235"/>
      <c r="J148" s="208"/>
      <c r="K148" s="209"/>
      <c r="L148" s="210"/>
      <c r="M148" s="239"/>
      <c r="N148" s="219"/>
      <c r="O148" s="217"/>
      <c r="P148" s="145"/>
      <c r="Q148" s="150"/>
      <c r="R148" s="150"/>
      <c r="S148" s="150"/>
      <c r="T148" s="150"/>
      <c r="U148" s="150"/>
      <c r="V148" s="150"/>
      <c r="W148" s="150"/>
      <c r="X148" s="150"/>
      <c r="Y148" s="150"/>
      <c r="Z148" s="151"/>
    </row>
    <row r="149" spans="1:26" s="240" customFormat="1" ht="15" thickBot="1" x14ac:dyDescent="0.4">
      <c r="A149" s="145"/>
      <c r="B149" s="203"/>
      <c r="C149" s="204"/>
      <c r="D149" s="204"/>
      <c r="E149" s="203"/>
      <c r="F149" s="228"/>
      <c r="G149" s="206"/>
      <c r="H149" s="230"/>
      <c r="I149" s="235"/>
      <c r="J149" s="208"/>
      <c r="K149" s="209"/>
      <c r="L149" s="236"/>
      <c r="M149" s="239"/>
      <c r="N149" s="219"/>
      <c r="O149" s="217"/>
      <c r="P149" s="145"/>
      <c r="Q149" s="150"/>
      <c r="R149" s="150"/>
      <c r="S149" s="150"/>
      <c r="T149" s="150"/>
      <c r="U149" s="150"/>
      <c r="V149" s="150"/>
      <c r="W149" s="150"/>
      <c r="X149" s="150"/>
      <c r="Y149" s="150"/>
      <c r="Z149" s="151"/>
    </row>
    <row r="150" spans="1:26" s="240" customFormat="1" ht="15" thickBot="1" x14ac:dyDescent="0.4">
      <c r="A150" s="145"/>
      <c r="B150" s="203"/>
      <c r="C150" s="204"/>
      <c r="D150" s="204"/>
      <c r="E150" s="203"/>
      <c r="F150" s="228"/>
      <c r="G150" s="206"/>
      <c r="H150" s="230"/>
      <c r="I150" s="235"/>
      <c r="J150" s="208"/>
      <c r="K150" s="209"/>
      <c r="L150" s="210"/>
      <c r="M150" s="239"/>
      <c r="N150" s="219"/>
      <c r="O150" s="217"/>
      <c r="P150" s="145"/>
      <c r="Q150" s="150"/>
      <c r="R150" s="150"/>
      <c r="S150" s="150"/>
      <c r="T150" s="150"/>
      <c r="U150" s="150"/>
      <c r="V150" s="150"/>
      <c r="W150" s="150"/>
      <c r="X150" s="150"/>
      <c r="Y150" s="150"/>
      <c r="Z150" s="151"/>
    </row>
    <row r="151" spans="1:26" s="240" customFormat="1" ht="15" thickBot="1" x14ac:dyDescent="0.4">
      <c r="A151" s="145"/>
      <c r="B151" s="203"/>
      <c r="C151" s="204"/>
      <c r="D151" s="204"/>
      <c r="E151" s="203"/>
      <c r="F151" s="228"/>
      <c r="G151" s="206"/>
      <c r="H151" s="230"/>
      <c r="I151" s="235"/>
      <c r="J151" s="208"/>
      <c r="K151" s="209"/>
      <c r="L151" s="210"/>
      <c r="M151" s="239"/>
      <c r="N151" s="219"/>
      <c r="O151" s="217"/>
      <c r="P151" s="145"/>
      <c r="Q151" s="150"/>
      <c r="R151" s="150"/>
      <c r="S151" s="150"/>
      <c r="T151" s="150"/>
      <c r="U151" s="150"/>
      <c r="V151" s="150"/>
      <c r="W151" s="150"/>
      <c r="X151" s="150"/>
      <c r="Y151" s="150"/>
      <c r="Z151" s="151"/>
    </row>
    <row r="152" spans="1:26" s="240" customFormat="1" ht="15" thickBot="1" x14ac:dyDescent="0.4">
      <c r="A152" s="145"/>
      <c r="B152" s="203"/>
      <c r="C152" s="204"/>
      <c r="D152" s="204"/>
      <c r="E152" s="203"/>
      <c r="F152" s="228"/>
      <c r="G152" s="206"/>
      <c r="H152" s="230"/>
      <c r="I152" s="235"/>
      <c r="J152" s="208"/>
      <c r="K152" s="209"/>
      <c r="L152" s="210"/>
      <c r="M152" s="239"/>
      <c r="N152" s="219"/>
      <c r="O152" s="217"/>
      <c r="P152" s="145"/>
      <c r="Q152" s="150"/>
      <c r="R152" s="150"/>
      <c r="S152" s="150"/>
      <c r="T152" s="150"/>
      <c r="U152" s="150"/>
      <c r="V152" s="150"/>
      <c r="W152" s="150"/>
      <c r="X152" s="150"/>
      <c r="Y152" s="150"/>
      <c r="Z152" s="151"/>
    </row>
    <row r="153" spans="1:26" s="240" customFormat="1" ht="15" thickBot="1" x14ac:dyDescent="0.4">
      <c r="A153" s="145"/>
      <c r="B153" s="203"/>
      <c r="C153" s="204"/>
      <c r="D153" s="204"/>
      <c r="E153" s="203"/>
      <c r="F153" s="228"/>
      <c r="G153" s="206"/>
      <c r="H153" s="230"/>
      <c r="I153" s="235"/>
      <c r="J153" s="208"/>
      <c r="K153" s="209"/>
      <c r="L153" s="210"/>
      <c r="M153" s="239"/>
      <c r="N153" s="219"/>
      <c r="O153" s="217"/>
      <c r="P153" s="145"/>
      <c r="Q153" s="150"/>
      <c r="R153" s="150"/>
      <c r="S153" s="150"/>
      <c r="T153" s="150"/>
      <c r="U153" s="150"/>
      <c r="V153" s="150"/>
      <c r="W153" s="150"/>
      <c r="X153" s="150"/>
      <c r="Y153" s="150"/>
      <c r="Z153" s="151"/>
    </row>
    <row r="154" spans="1:26" s="240" customFormat="1" ht="15" thickBot="1" x14ac:dyDescent="0.4">
      <c r="A154" s="145"/>
      <c r="B154" s="203"/>
      <c r="C154" s="204"/>
      <c r="D154" s="204"/>
      <c r="E154" s="203"/>
      <c r="F154" s="228"/>
      <c r="G154" s="206"/>
      <c r="H154" s="230"/>
      <c r="I154" s="235"/>
      <c r="J154" s="208"/>
      <c r="K154" s="209"/>
      <c r="L154" s="210"/>
      <c r="M154" s="239"/>
      <c r="N154" s="219"/>
      <c r="O154" s="217"/>
      <c r="P154" s="145"/>
      <c r="Q154" s="150"/>
      <c r="R154" s="150"/>
      <c r="S154" s="150"/>
      <c r="T154" s="150"/>
      <c r="U154" s="150"/>
      <c r="V154" s="150"/>
      <c r="W154" s="150"/>
      <c r="X154" s="150"/>
      <c r="Y154" s="150"/>
      <c r="Z154" s="151"/>
    </row>
    <row r="155" spans="1:26" s="240" customFormat="1" ht="15" thickBot="1" x14ac:dyDescent="0.4">
      <c r="A155" s="145"/>
      <c r="B155" s="203"/>
      <c r="C155" s="204"/>
      <c r="D155" s="204"/>
      <c r="E155" s="203"/>
      <c r="F155" s="228"/>
      <c r="G155" s="206"/>
      <c r="H155" s="230"/>
      <c r="I155" s="235"/>
      <c r="J155" s="208"/>
      <c r="K155" s="209"/>
      <c r="L155" s="210"/>
      <c r="M155" s="239"/>
      <c r="N155" s="219"/>
      <c r="O155" s="217"/>
      <c r="P155" s="145"/>
      <c r="Q155" s="150"/>
      <c r="R155" s="150"/>
      <c r="S155" s="150"/>
      <c r="T155" s="150"/>
      <c r="U155" s="150"/>
      <c r="V155" s="150"/>
      <c r="W155" s="150"/>
      <c r="X155" s="150"/>
      <c r="Y155" s="150"/>
      <c r="Z155" s="151"/>
    </row>
    <row r="156" spans="1:26" s="240" customFormat="1" ht="15" thickBot="1" x14ac:dyDescent="0.4">
      <c r="A156" s="145"/>
      <c r="B156" s="203"/>
      <c r="C156" s="204"/>
      <c r="D156" s="204"/>
      <c r="E156" s="203"/>
      <c r="F156" s="228"/>
      <c r="G156" s="206"/>
      <c r="H156" s="230"/>
      <c r="I156" s="235"/>
      <c r="J156" s="208"/>
      <c r="K156" s="209"/>
      <c r="L156" s="210"/>
      <c r="M156" s="239"/>
      <c r="N156" s="219"/>
      <c r="O156" s="217"/>
      <c r="P156" s="145"/>
      <c r="Q156" s="150"/>
      <c r="R156" s="150"/>
      <c r="S156" s="150"/>
      <c r="T156" s="150"/>
      <c r="U156" s="150"/>
      <c r="V156" s="150"/>
      <c r="W156" s="150"/>
      <c r="X156" s="150"/>
      <c r="Y156" s="150"/>
      <c r="Z156" s="151"/>
    </row>
    <row r="157" spans="1:26" s="240" customFormat="1" ht="15" thickBot="1" x14ac:dyDescent="0.4">
      <c r="A157" s="145"/>
      <c r="B157" s="203"/>
      <c r="C157" s="204"/>
      <c r="D157" s="204"/>
      <c r="E157" s="203"/>
      <c r="F157" s="228"/>
      <c r="G157" s="206"/>
      <c r="H157" s="230"/>
      <c r="I157" s="235"/>
      <c r="J157" s="208"/>
      <c r="K157" s="209"/>
      <c r="L157" s="210"/>
      <c r="M157" s="239"/>
      <c r="N157" s="219"/>
      <c r="O157" s="217"/>
      <c r="P157" s="145"/>
      <c r="Q157" s="150"/>
      <c r="R157" s="150"/>
      <c r="S157" s="150"/>
      <c r="T157" s="150"/>
      <c r="U157" s="150"/>
      <c r="V157" s="150"/>
      <c r="W157" s="150"/>
      <c r="X157" s="150"/>
      <c r="Y157" s="150"/>
      <c r="Z157" s="151"/>
    </row>
    <row r="158" spans="1:26" s="243" customFormat="1" ht="14.5" x14ac:dyDescent="0.35">
      <c r="A158" s="241"/>
      <c r="B158" s="203"/>
      <c r="C158" s="204"/>
      <c r="D158" s="204"/>
      <c r="E158" s="203"/>
      <c r="F158" s="228"/>
      <c r="G158" s="206"/>
      <c r="H158" s="242"/>
      <c r="I158" s="235"/>
      <c r="J158" s="208"/>
      <c r="K158" s="209"/>
      <c r="L158" s="210"/>
      <c r="M158" s="239"/>
      <c r="N158" s="219"/>
      <c r="O158" s="217"/>
      <c r="P158" s="241"/>
      <c r="Q158" s="150"/>
      <c r="R158" s="150"/>
      <c r="S158" s="150"/>
      <c r="T158" s="150"/>
      <c r="U158" s="150"/>
      <c r="V158" s="150"/>
      <c r="W158" s="150"/>
      <c r="X158" s="150"/>
      <c r="Y158" s="150"/>
      <c r="Z158" s="241"/>
    </row>
    <row r="159" spans="1:26" s="240" customFormat="1" ht="14.5" x14ac:dyDescent="0.35">
      <c r="A159" s="145"/>
      <c r="B159" s="203"/>
      <c r="C159" s="204"/>
      <c r="D159" s="204"/>
      <c r="E159" s="203"/>
      <c r="F159" s="228"/>
      <c r="G159" s="206"/>
      <c r="H159" s="242"/>
      <c r="I159" s="235"/>
      <c r="J159" s="208"/>
      <c r="K159" s="209"/>
      <c r="L159" s="210"/>
      <c r="M159" s="239"/>
      <c r="N159" s="219"/>
      <c r="O159" s="217"/>
      <c r="P159" s="145"/>
      <c r="Q159" s="150"/>
      <c r="R159" s="150"/>
      <c r="S159" s="150"/>
      <c r="T159" s="150"/>
      <c r="U159" s="150"/>
      <c r="V159" s="150"/>
      <c r="W159" s="150"/>
      <c r="X159" s="150"/>
      <c r="Y159" s="150"/>
      <c r="Z159" s="151"/>
    </row>
    <row r="160" spans="1:26" s="240" customFormat="1" ht="14.5" x14ac:dyDescent="0.35">
      <c r="A160" s="145"/>
      <c r="B160" s="203"/>
      <c r="C160" s="204"/>
      <c r="D160" s="204"/>
      <c r="E160" s="203"/>
      <c r="F160" s="228"/>
      <c r="G160" s="206"/>
      <c r="H160" s="242"/>
      <c r="I160" s="235"/>
      <c r="J160" s="208"/>
      <c r="K160" s="209"/>
      <c r="L160" s="210"/>
      <c r="M160" s="239"/>
      <c r="N160" s="219"/>
      <c r="O160" s="217"/>
      <c r="P160" s="145"/>
      <c r="Q160" s="150"/>
      <c r="R160" s="150"/>
      <c r="S160" s="150"/>
      <c r="T160" s="150"/>
      <c r="U160" s="150"/>
      <c r="V160" s="150"/>
      <c r="W160" s="150"/>
      <c r="X160" s="150"/>
      <c r="Y160" s="150"/>
      <c r="Z160" s="151"/>
    </row>
    <row r="161" spans="1:26" s="240" customFormat="1" ht="14.5" x14ac:dyDescent="0.35">
      <c r="A161" s="145"/>
      <c r="B161" s="203"/>
      <c r="C161" s="204"/>
      <c r="D161" s="204"/>
      <c r="E161" s="203"/>
      <c r="F161" s="228"/>
      <c r="G161" s="206"/>
      <c r="H161" s="242"/>
      <c r="I161" s="235"/>
      <c r="J161" s="208"/>
      <c r="K161" s="209"/>
      <c r="L161" s="210"/>
      <c r="M161" s="239"/>
      <c r="N161" s="219"/>
      <c r="O161" s="217"/>
      <c r="P161" s="145"/>
      <c r="Q161" s="150"/>
      <c r="R161" s="150"/>
      <c r="S161" s="150"/>
      <c r="T161" s="150"/>
      <c r="U161" s="150"/>
      <c r="V161" s="150"/>
      <c r="W161" s="150"/>
      <c r="X161" s="150"/>
      <c r="Y161" s="150"/>
      <c r="Z161" s="151"/>
    </row>
    <row r="162" spans="1:26" s="240" customFormat="1" ht="14.5" x14ac:dyDescent="0.35">
      <c r="A162" s="145"/>
      <c r="B162" s="203"/>
      <c r="C162" s="204"/>
      <c r="D162" s="204"/>
      <c r="E162" s="203"/>
      <c r="F162" s="228"/>
      <c r="G162" s="206"/>
      <c r="H162" s="242"/>
      <c r="I162" s="235"/>
      <c r="J162" s="208"/>
      <c r="K162" s="209"/>
      <c r="L162" s="210"/>
      <c r="M162" s="239"/>
      <c r="N162" s="219"/>
      <c r="O162" s="217"/>
      <c r="P162" s="145"/>
      <c r="Q162" s="150"/>
      <c r="R162" s="150"/>
      <c r="S162" s="150"/>
      <c r="T162" s="150"/>
      <c r="U162" s="150"/>
      <c r="V162" s="150"/>
      <c r="W162" s="150"/>
      <c r="X162" s="150"/>
      <c r="Y162" s="150"/>
      <c r="Z162" s="151"/>
    </row>
    <row r="163" spans="1:26" s="240" customFormat="1" ht="14.5" x14ac:dyDescent="0.35">
      <c r="A163" s="145"/>
      <c r="B163" s="203"/>
      <c r="C163" s="204"/>
      <c r="D163" s="204"/>
      <c r="E163" s="203"/>
      <c r="F163" s="228"/>
      <c r="G163" s="206"/>
      <c r="H163" s="242"/>
      <c r="I163" s="235"/>
      <c r="J163" s="208"/>
      <c r="K163" s="209"/>
      <c r="L163" s="210"/>
      <c r="M163" s="239"/>
      <c r="N163" s="219"/>
      <c r="O163" s="217"/>
      <c r="P163" s="145"/>
      <c r="Q163" s="150"/>
      <c r="R163" s="150"/>
      <c r="S163" s="150"/>
      <c r="T163" s="150"/>
      <c r="U163" s="150"/>
      <c r="V163" s="150"/>
      <c r="W163" s="150"/>
      <c r="X163" s="150"/>
      <c r="Y163" s="150"/>
      <c r="Z163" s="151"/>
    </row>
    <row r="164" spans="1:26" s="240" customFormat="1" ht="14.5" x14ac:dyDescent="0.35">
      <c r="A164" s="145"/>
      <c r="B164" s="203"/>
      <c r="C164" s="204"/>
      <c r="D164" s="204"/>
      <c r="E164" s="203"/>
      <c r="F164" s="228"/>
      <c r="G164" s="206"/>
      <c r="H164" s="242"/>
      <c r="I164" s="235"/>
      <c r="J164" s="208"/>
      <c r="K164" s="209"/>
      <c r="L164" s="210"/>
      <c r="M164" s="239"/>
      <c r="N164" s="219"/>
      <c r="O164" s="217"/>
      <c r="P164" s="145"/>
      <c r="Q164" s="150"/>
      <c r="R164" s="150"/>
      <c r="S164" s="150"/>
      <c r="T164" s="150"/>
      <c r="U164" s="150"/>
      <c r="V164" s="150"/>
      <c r="W164" s="150"/>
      <c r="X164" s="150"/>
      <c r="Y164" s="150"/>
      <c r="Z164" s="151"/>
    </row>
    <row r="165" spans="1:26" s="240" customFormat="1" ht="14.5" x14ac:dyDescent="0.35">
      <c r="A165" s="145"/>
      <c r="B165" s="203"/>
      <c r="C165" s="204"/>
      <c r="D165" s="204"/>
      <c r="E165" s="203"/>
      <c r="F165" s="228"/>
      <c r="G165" s="206"/>
      <c r="H165" s="242"/>
      <c r="I165" s="235"/>
      <c r="J165" s="208"/>
      <c r="K165" s="209"/>
      <c r="L165" s="210"/>
      <c r="M165" s="239"/>
      <c r="N165" s="219"/>
      <c r="O165" s="217"/>
      <c r="P165" s="145"/>
      <c r="Q165" s="150"/>
      <c r="R165" s="150"/>
      <c r="S165" s="150"/>
      <c r="T165" s="150"/>
      <c r="U165" s="150"/>
      <c r="V165" s="150"/>
      <c r="W165" s="150"/>
      <c r="X165" s="150"/>
      <c r="Y165" s="150"/>
      <c r="Z165" s="151"/>
    </row>
    <row r="166" spans="1:26" s="240" customFormat="1" ht="14.5" x14ac:dyDescent="0.35">
      <c r="A166" s="145"/>
      <c r="B166" s="203"/>
      <c r="C166" s="204"/>
      <c r="D166" s="204"/>
      <c r="E166" s="203"/>
      <c r="F166" s="228"/>
      <c r="G166" s="206"/>
      <c r="H166" s="242"/>
      <c r="I166" s="235"/>
      <c r="J166" s="208"/>
      <c r="K166" s="209"/>
      <c r="L166" s="210"/>
      <c r="M166" s="239"/>
      <c r="N166" s="219"/>
      <c r="O166" s="217"/>
      <c r="P166" s="145"/>
      <c r="Q166" s="150"/>
      <c r="R166" s="150"/>
      <c r="S166" s="150"/>
      <c r="T166" s="150"/>
      <c r="U166" s="150"/>
      <c r="V166" s="150"/>
      <c r="W166" s="150"/>
      <c r="X166" s="150"/>
      <c r="Y166" s="150"/>
      <c r="Z166" s="151"/>
    </row>
    <row r="167" spans="1:26" s="240" customFormat="1" ht="14.5" x14ac:dyDescent="0.35">
      <c r="A167" s="145"/>
      <c r="B167" s="203"/>
      <c r="C167" s="204"/>
      <c r="D167" s="204"/>
      <c r="E167" s="203"/>
      <c r="F167" s="228"/>
      <c r="G167" s="206"/>
      <c r="H167" s="242"/>
      <c r="I167" s="235"/>
      <c r="J167" s="208"/>
      <c r="K167" s="209"/>
      <c r="L167" s="210"/>
      <c r="M167" s="239"/>
      <c r="N167" s="219"/>
      <c r="O167" s="217"/>
      <c r="P167" s="145"/>
      <c r="Q167" s="150"/>
      <c r="R167" s="150"/>
      <c r="S167" s="150"/>
      <c r="T167" s="150"/>
      <c r="U167" s="150"/>
      <c r="V167" s="150"/>
      <c r="W167" s="150"/>
      <c r="X167" s="150"/>
      <c r="Y167" s="150"/>
      <c r="Z167" s="151"/>
    </row>
    <row r="168" spans="1:26" s="240" customFormat="1" ht="14.5" x14ac:dyDescent="0.35">
      <c r="A168" s="145"/>
      <c r="B168" s="203"/>
      <c r="C168" s="204"/>
      <c r="D168" s="204"/>
      <c r="E168" s="203"/>
      <c r="F168" s="228"/>
      <c r="G168" s="206"/>
      <c r="H168" s="242"/>
      <c r="I168" s="235"/>
      <c r="J168" s="208"/>
      <c r="K168" s="209"/>
      <c r="L168" s="210"/>
      <c r="M168" s="239"/>
      <c r="N168" s="219"/>
      <c r="O168" s="217"/>
      <c r="P168" s="145"/>
      <c r="Q168" s="150"/>
      <c r="R168" s="150"/>
      <c r="S168" s="150"/>
      <c r="T168" s="150"/>
      <c r="U168" s="150"/>
      <c r="V168" s="150"/>
      <c r="W168" s="150"/>
      <c r="X168" s="150"/>
      <c r="Y168" s="150"/>
      <c r="Z168" s="151"/>
    </row>
    <row r="169" spans="1:26" s="240" customFormat="1" ht="14.5" x14ac:dyDescent="0.35">
      <c r="A169" s="145"/>
      <c r="B169" s="203"/>
      <c r="C169" s="204"/>
      <c r="D169" s="204"/>
      <c r="E169" s="203"/>
      <c r="F169" s="228"/>
      <c r="G169" s="206"/>
      <c r="H169" s="242"/>
      <c r="I169" s="235"/>
      <c r="J169" s="208"/>
      <c r="K169" s="209"/>
      <c r="L169" s="210"/>
      <c r="M169" s="239"/>
      <c r="N169" s="219"/>
      <c r="O169" s="217"/>
      <c r="P169" s="145"/>
      <c r="Q169" s="150"/>
      <c r="R169" s="150"/>
      <c r="S169" s="150"/>
      <c r="T169" s="150"/>
      <c r="U169" s="150"/>
      <c r="V169" s="150"/>
      <c r="W169" s="150"/>
      <c r="X169" s="150"/>
      <c r="Y169" s="150"/>
      <c r="Z169" s="151"/>
    </row>
    <row r="170" spans="1:26" s="240" customFormat="1" ht="14.5" x14ac:dyDescent="0.35">
      <c r="A170" s="145"/>
      <c r="B170" s="203"/>
      <c r="C170" s="204"/>
      <c r="D170" s="204"/>
      <c r="E170" s="203"/>
      <c r="F170" s="228"/>
      <c r="G170" s="206"/>
      <c r="H170" s="242"/>
      <c r="I170" s="235"/>
      <c r="J170" s="208"/>
      <c r="K170" s="209"/>
      <c r="L170" s="236"/>
      <c r="M170" s="239"/>
      <c r="N170" s="219"/>
      <c r="O170" s="217"/>
      <c r="P170" s="145"/>
      <c r="Q170" s="150"/>
      <c r="R170" s="150"/>
      <c r="S170" s="150"/>
      <c r="T170" s="150"/>
      <c r="U170" s="150"/>
      <c r="V170" s="150"/>
      <c r="W170" s="150"/>
      <c r="X170" s="150"/>
      <c r="Y170" s="150"/>
      <c r="Z170" s="151"/>
    </row>
    <row r="171" spans="1:26" ht="14.5" x14ac:dyDescent="0.35">
      <c r="B171" s="203"/>
      <c r="C171" s="204"/>
      <c r="D171" s="204"/>
      <c r="E171" s="203"/>
      <c r="F171" s="228"/>
      <c r="G171" s="206"/>
      <c r="H171" s="242"/>
      <c r="I171" s="235"/>
      <c r="J171" s="208"/>
      <c r="K171" s="209"/>
      <c r="L171" s="210"/>
      <c r="M171" s="211"/>
      <c r="N171" s="219"/>
      <c r="O171" s="217"/>
      <c r="P171" s="145"/>
      <c r="Q171" s="150"/>
      <c r="R171" s="150"/>
      <c r="S171" s="150"/>
      <c r="T171" s="150"/>
      <c r="U171" s="150"/>
      <c r="V171" s="150"/>
      <c r="W171" s="150"/>
      <c r="X171" s="150"/>
      <c r="Y171" s="150"/>
    </row>
    <row r="172" spans="1:26" ht="14.5" x14ac:dyDescent="0.35">
      <c r="B172" s="203"/>
      <c r="C172" s="204"/>
      <c r="D172" s="204"/>
      <c r="E172" s="203"/>
      <c r="F172" s="228"/>
      <c r="G172" s="206"/>
      <c r="H172" s="242"/>
      <c r="I172" s="235"/>
      <c r="J172" s="208"/>
      <c r="K172" s="209"/>
      <c r="L172" s="210"/>
      <c r="M172" s="211"/>
      <c r="N172" s="219"/>
      <c r="O172" s="217"/>
      <c r="P172" s="145"/>
      <c r="Q172" s="150"/>
      <c r="R172" s="150"/>
      <c r="S172" s="150"/>
      <c r="T172" s="150"/>
      <c r="U172" s="150"/>
      <c r="V172" s="150"/>
      <c r="W172" s="150"/>
      <c r="X172" s="150"/>
      <c r="Y172" s="150"/>
    </row>
    <row r="173" spans="1:26" ht="14.5" x14ac:dyDescent="0.35">
      <c r="B173" s="203"/>
      <c r="C173" s="204"/>
      <c r="D173" s="204"/>
      <c r="E173" s="203"/>
      <c r="F173" s="228"/>
      <c r="G173" s="206"/>
      <c r="H173" s="242"/>
      <c r="I173" s="235"/>
      <c r="J173" s="208"/>
      <c r="K173" s="209"/>
      <c r="L173" s="210"/>
      <c r="M173" s="211"/>
      <c r="N173" s="219"/>
      <c r="O173" s="217"/>
      <c r="P173" s="145"/>
      <c r="Q173" s="150"/>
      <c r="R173" s="150"/>
      <c r="S173" s="150"/>
      <c r="T173" s="150"/>
      <c r="U173" s="150"/>
      <c r="V173" s="150"/>
      <c r="W173" s="150"/>
      <c r="X173" s="150"/>
      <c r="Y173" s="150"/>
    </row>
    <row r="174" spans="1:26" ht="14.5" x14ac:dyDescent="0.35">
      <c r="B174" s="203"/>
      <c r="C174" s="204"/>
      <c r="D174" s="204"/>
      <c r="E174" s="203"/>
      <c r="F174" s="228"/>
      <c r="G174" s="206"/>
      <c r="H174" s="242"/>
      <c r="I174" s="235"/>
      <c r="J174" s="208"/>
      <c r="K174" s="209"/>
      <c r="L174" s="210"/>
      <c r="M174" s="211"/>
      <c r="N174" s="219"/>
      <c r="O174" s="217"/>
      <c r="P174" s="145"/>
      <c r="Q174" s="150"/>
      <c r="R174" s="150"/>
      <c r="S174" s="150"/>
      <c r="T174" s="150"/>
      <c r="U174" s="150"/>
      <c r="V174" s="150"/>
      <c r="W174" s="150"/>
      <c r="X174" s="150"/>
      <c r="Y174" s="150"/>
    </row>
    <row r="175" spans="1:26" ht="14.5" x14ac:dyDescent="0.35">
      <c r="B175" s="203"/>
      <c r="C175" s="204"/>
      <c r="D175" s="204"/>
      <c r="E175" s="203"/>
      <c r="F175" s="228"/>
      <c r="G175" s="206"/>
      <c r="H175" s="242"/>
      <c r="I175" s="235"/>
      <c r="J175" s="208"/>
      <c r="K175" s="209"/>
      <c r="L175" s="210"/>
      <c r="M175" s="211"/>
      <c r="N175" s="219"/>
      <c r="O175" s="217"/>
      <c r="P175" s="145"/>
      <c r="Q175" s="150"/>
      <c r="R175" s="150"/>
      <c r="S175" s="150"/>
      <c r="T175" s="150"/>
      <c r="U175" s="150"/>
      <c r="V175" s="150"/>
      <c r="W175" s="150"/>
      <c r="X175" s="150"/>
      <c r="Y175" s="150"/>
    </row>
    <row r="176" spans="1:26" ht="14.5" x14ac:dyDescent="0.35">
      <c r="B176" s="203"/>
      <c r="C176" s="204"/>
      <c r="D176" s="204"/>
      <c r="E176" s="203"/>
      <c r="F176" s="228"/>
      <c r="G176" s="206"/>
      <c r="H176" s="242"/>
      <c r="I176" s="235"/>
      <c r="J176" s="208"/>
      <c r="K176" s="209"/>
      <c r="L176" s="210"/>
      <c r="M176" s="211"/>
      <c r="N176" s="219"/>
      <c r="O176" s="217"/>
      <c r="P176" s="145"/>
      <c r="Q176" s="150"/>
      <c r="R176" s="150"/>
      <c r="S176" s="150"/>
      <c r="T176" s="150"/>
      <c r="U176" s="150"/>
      <c r="V176" s="150"/>
      <c r="W176" s="150"/>
      <c r="X176" s="150"/>
      <c r="Y176" s="150"/>
    </row>
    <row r="177" spans="2:25" ht="14.5" x14ac:dyDescent="0.35">
      <c r="B177" s="203"/>
      <c r="C177" s="204"/>
      <c r="D177" s="204"/>
      <c r="E177" s="203"/>
      <c r="F177" s="228"/>
      <c r="G177" s="206"/>
      <c r="H177" s="242"/>
      <c r="I177" s="235"/>
      <c r="J177" s="208"/>
      <c r="K177" s="209"/>
      <c r="L177" s="210"/>
      <c r="M177" s="211"/>
      <c r="N177" s="219"/>
      <c r="O177" s="217"/>
      <c r="P177" s="145"/>
      <c r="Q177" s="150"/>
      <c r="R177" s="150"/>
      <c r="S177" s="150"/>
      <c r="T177" s="150"/>
      <c r="U177" s="150"/>
      <c r="V177" s="150"/>
      <c r="W177" s="150"/>
      <c r="X177" s="150"/>
      <c r="Y177" s="150"/>
    </row>
    <row r="178" spans="2:25" ht="14.5" x14ac:dyDescent="0.35">
      <c r="B178" s="203"/>
      <c r="C178" s="204"/>
      <c r="D178" s="204"/>
      <c r="E178" s="203"/>
      <c r="F178" s="228"/>
      <c r="G178" s="206"/>
      <c r="H178" s="242"/>
      <c r="I178" s="235"/>
      <c r="J178" s="208"/>
      <c r="K178" s="209"/>
      <c r="L178" s="210"/>
      <c r="M178" s="211"/>
      <c r="N178" s="219"/>
      <c r="O178" s="217"/>
      <c r="P178" s="145"/>
      <c r="Q178" s="150"/>
      <c r="R178" s="150"/>
      <c r="S178" s="150"/>
      <c r="T178" s="150"/>
      <c r="U178" s="150"/>
      <c r="V178" s="150"/>
      <c r="W178" s="150"/>
      <c r="X178" s="150"/>
      <c r="Y178" s="150"/>
    </row>
    <row r="179" spans="2:25" ht="14.5" x14ac:dyDescent="0.35">
      <c r="B179" s="203"/>
      <c r="C179" s="204"/>
      <c r="D179" s="204"/>
      <c r="E179" s="203"/>
      <c r="F179" s="228"/>
      <c r="G179" s="206"/>
      <c r="H179" s="242"/>
      <c r="I179" s="235"/>
      <c r="J179" s="208"/>
      <c r="K179" s="209"/>
      <c r="L179" s="210"/>
      <c r="M179" s="211"/>
      <c r="N179" s="219"/>
      <c r="O179" s="217"/>
      <c r="P179" s="145"/>
      <c r="Q179" s="150"/>
      <c r="R179" s="150"/>
      <c r="S179" s="150"/>
      <c r="T179" s="150"/>
      <c r="U179" s="150"/>
      <c r="V179" s="150"/>
      <c r="W179" s="150"/>
      <c r="X179" s="150"/>
      <c r="Y179" s="150"/>
    </row>
    <row r="180" spans="2:25" ht="14.5" x14ac:dyDescent="0.35">
      <c r="B180" s="203"/>
      <c r="C180" s="204"/>
      <c r="D180" s="204"/>
      <c r="E180" s="203"/>
      <c r="F180" s="228"/>
      <c r="G180" s="206"/>
      <c r="H180" s="242"/>
      <c r="I180" s="235"/>
      <c r="J180" s="208"/>
      <c r="K180" s="209"/>
      <c r="L180" s="210"/>
      <c r="M180" s="211"/>
      <c r="N180" s="219"/>
      <c r="O180" s="217"/>
      <c r="P180" s="145"/>
      <c r="Q180" s="150"/>
      <c r="R180" s="150"/>
      <c r="S180" s="150"/>
      <c r="T180" s="150"/>
      <c r="U180" s="150"/>
      <c r="V180" s="150"/>
      <c r="W180" s="150"/>
      <c r="X180" s="150"/>
      <c r="Y180" s="150"/>
    </row>
    <row r="181" spans="2:25" ht="14.5" x14ac:dyDescent="0.35">
      <c r="B181" s="203"/>
      <c r="C181" s="204"/>
      <c r="D181" s="204"/>
      <c r="E181" s="203"/>
      <c r="F181" s="228"/>
      <c r="G181" s="206"/>
      <c r="H181" s="242"/>
      <c r="I181" s="235"/>
      <c r="J181" s="208"/>
      <c r="K181" s="209"/>
      <c r="L181" s="210"/>
      <c r="M181" s="211"/>
      <c r="N181" s="217"/>
      <c r="P181" s="145"/>
      <c r="Q181" s="150"/>
      <c r="R181" s="150"/>
      <c r="S181" s="150"/>
      <c r="T181" s="150"/>
      <c r="U181" s="150"/>
      <c r="V181" s="150"/>
      <c r="W181" s="150"/>
      <c r="X181" s="150"/>
      <c r="Y181" s="150"/>
    </row>
    <row r="182" spans="2:25" ht="14.5" x14ac:dyDescent="0.35">
      <c r="B182" s="203"/>
      <c r="C182" s="204"/>
      <c r="D182" s="204"/>
      <c r="E182" s="203"/>
      <c r="F182" s="228"/>
      <c r="G182" s="206"/>
      <c r="H182" s="242"/>
      <c r="I182" s="235"/>
      <c r="J182" s="208"/>
      <c r="K182" s="209"/>
      <c r="L182" s="210"/>
      <c r="M182" s="211"/>
      <c r="N182" s="217"/>
      <c r="P182" s="145"/>
      <c r="Q182" s="150"/>
      <c r="R182" s="150"/>
      <c r="S182" s="150"/>
      <c r="T182" s="150"/>
      <c r="U182" s="150"/>
      <c r="V182" s="150"/>
      <c r="W182" s="150"/>
      <c r="X182" s="150"/>
      <c r="Y182" s="150"/>
    </row>
    <row r="183" spans="2:25" ht="14.5" x14ac:dyDescent="0.35">
      <c r="B183" s="203"/>
      <c r="C183" s="204"/>
      <c r="D183" s="204"/>
      <c r="E183" s="203"/>
      <c r="F183" s="228"/>
      <c r="G183" s="206"/>
      <c r="H183" s="242"/>
      <c r="I183" s="235"/>
      <c r="J183" s="208"/>
      <c r="K183" s="209"/>
      <c r="L183" s="210"/>
      <c r="M183" s="211"/>
      <c r="N183" s="217"/>
      <c r="P183" s="145"/>
      <c r="Q183" s="150"/>
      <c r="R183" s="150"/>
      <c r="S183" s="150"/>
      <c r="T183" s="150"/>
      <c r="U183" s="150"/>
      <c r="V183" s="150"/>
      <c r="W183" s="150"/>
      <c r="X183" s="150"/>
      <c r="Y183" s="150"/>
    </row>
    <row r="184" spans="2:25" ht="14.5" x14ac:dyDescent="0.35">
      <c r="B184" s="203"/>
      <c r="C184" s="204"/>
      <c r="D184" s="204"/>
      <c r="E184" s="203"/>
      <c r="F184" s="228"/>
      <c r="G184" s="206"/>
      <c r="H184" s="242"/>
      <c r="I184" s="235"/>
      <c r="J184" s="208"/>
      <c r="K184" s="209"/>
      <c r="L184" s="210"/>
      <c r="M184" s="211"/>
      <c r="N184" s="217"/>
      <c r="P184" s="145"/>
      <c r="Q184" s="150"/>
      <c r="R184" s="150"/>
      <c r="S184" s="150"/>
      <c r="T184" s="150"/>
      <c r="U184" s="150"/>
      <c r="V184" s="150"/>
      <c r="W184" s="150"/>
      <c r="X184" s="150"/>
      <c r="Y184" s="150"/>
    </row>
    <row r="185" spans="2:25" ht="14.5" x14ac:dyDescent="0.35">
      <c r="B185" s="203"/>
      <c r="C185" s="204"/>
      <c r="D185" s="204"/>
      <c r="E185" s="203"/>
      <c r="F185" s="228"/>
      <c r="G185" s="206"/>
      <c r="H185" s="242"/>
      <c r="I185" s="235"/>
      <c r="J185" s="208"/>
      <c r="K185" s="209"/>
      <c r="L185" s="210"/>
      <c r="M185" s="211"/>
      <c r="N185" s="217"/>
      <c r="P185" s="145"/>
      <c r="Q185" s="150"/>
      <c r="R185" s="150"/>
      <c r="S185" s="150"/>
      <c r="T185" s="150"/>
      <c r="U185" s="150"/>
      <c r="V185" s="150"/>
      <c r="W185" s="150"/>
      <c r="X185" s="150"/>
      <c r="Y185" s="150"/>
    </row>
    <row r="186" spans="2:25" ht="14.5" x14ac:dyDescent="0.35">
      <c r="B186" s="203"/>
      <c r="C186" s="204"/>
      <c r="D186" s="204"/>
      <c r="E186" s="203"/>
      <c r="F186" s="228"/>
      <c r="G186" s="206"/>
      <c r="H186" s="242"/>
      <c r="I186" s="235"/>
      <c r="J186" s="208"/>
      <c r="K186" s="209"/>
      <c r="L186" s="210"/>
      <c r="M186" s="211"/>
      <c r="N186" s="217"/>
      <c r="P186" s="145"/>
      <c r="Q186" s="150"/>
      <c r="R186" s="150"/>
      <c r="S186" s="150"/>
      <c r="T186" s="150"/>
      <c r="U186" s="150"/>
      <c r="V186" s="150"/>
      <c r="W186" s="150"/>
      <c r="X186" s="150"/>
      <c r="Y186" s="150"/>
    </row>
    <row r="187" spans="2:25" ht="14.5" x14ac:dyDescent="0.35">
      <c r="B187" s="203"/>
      <c r="C187" s="204"/>
      <c r="D187" s="204"/>
      <c r="E187" s="203"/>
      <c r="F187" s="228"/>
      <c r="G187" s="206"/>
      <c r="H187" s="242"/>
      <c r="I187" s="235"/>
      <c r="J187" s="208"/>
      <c r="K187" s="209"/>
      <c r="L187" s="210"/>
      <c r="M187" s="211"/>
      <c r="N187" s="217"/>
      <c r="P187" s="145"/>
      <c r="Q187" s="150"/>
      <c r="R187" s="150"/>
      <c r="S187" s="150"/>
      <c r="T187" s="150"/>
      <c r="U187" s="150"/>
      <c r="V187" s="150"/>
      <c r="W187" s="150"/>
      <c r="X187" s="150"/>
      <c r="Y187" s="150"/>
    </row>
    <row r="188" spans="2:25" ht="14.5" x14ac:dyDescent="0.35">
      <c r="B188" s="203"/>
      <c r="C188" s="204"/>
      <c r="D188" s="204"/>
      <c r="E188" s="203"/>
      <c r="F188" s="228"/>
      <c r="G188" s="206"/>
      <c r="H188" s="242"/>
      <c r="I188" s="235"/>
      <c r="J188" s="208"/>
      <c r="K188" s="209"/>
      <c r="L188" s="210"/>
      <c r="M188" s="211"/>
      <c r="N188" s="217"/>
      <c r="P188" s="145"/>
      <c r="Q188" s="150"/>
      <c r="R188" s="150"/>
      <c r="S188" s="150"/>
      <c r="T188" s="150"/>
      <c r="U188" s="150"/>
      <c r="V188" s="150"/>
      <c r="W188" s="150"/>
      <c r="X188" s="150"/>
      <c r="Y188" s="150"/>
    </row>
    <row r="189" spans="2:25" ht="14.5" x14ac:dyDescent="0.35">
      <c r="B189" s="203"/>
      <c r="C189" s="204"/>
      <c r="D189" s="204"/>
      <c r="E189" s="203"/>
      <c r="F189" s="228"/>
      <c r="G189" s="206"/>
      <c r="H189" s="242"/>
      <c r="I189" s="235"/>
      <c r="J189" s="208"/>
      <c r="K189" s="209"/>
      <c r="L189" s="210"/>
      <c r="M189" s="211"/>
      <c r="N189" s="217"/>
      <c r="P189" s="145"/>
      <c r="Q189" s="150"/>
      <c r="R189" s="150"/>
      <c r="S189" s="150"/>
      <c r="T189" s="150"/>
      <c r="U189" s="150"/>
      <c r="V189" s="150"/>
      <c r="W189" s="150"/>
      <c r="X189" s="150"/>
      <c r="Y189" s="150"/>
    </row>
    <row r="190" spans="2:25" ht="14.5" x14ac:dyDescent="0.35">
      <c r="B190" s="203"/>
      <c r="C190" s="204"/>
      <c r="D190" s="204"/>
      <c r="E190" s="203"/>
      <c r="F190" s="228"/>
      <c r="G190" s="206"/>
      <c r="H190" s="242"/>
      <c r="I190" s="235"/>
      <c r="J190" s="208"/>
      <c r="K190" s="209"/>
      <c r="L190" s="210"/>
      <c r="M190" s="211"/>
      <c r="N190" s="217"/>
      <c r="P190" s="145"/>
      <c r="Q190" s="150"/>
      <c r="R190" s="150"/>
      <c r="S190" s="150"/>
      <c r="T190" s="150"/>
      <c r="U190" s="150"/>
      <c r="V190" s="150"/>
      <c r="W190" s="150"/>
      <c r="X190" s="150"/>
      <c r="Y190" s="150"/>
    </row>
    <row r="191" spans="2:25" ht="14.5" x14ac:dyDescent="0.35">
      <c r="B191" s="203"/>
      <c r="C191" s="204"/>
      <c r="D191" s="204"/>
      <c r="E191" s="203"/>
      <c r="F191" s="228"/>
      <c r="G191" s="206"/>
      <c r="H191" s="242"/>
      <c r="I191" s="235"/>
      <c r="J191" s="208"/>
      <c r="K191" s="209"/>
      <c r="L191" s="210"/>
      <c r="M191" s="211"/>
      <c r="N191" s="217"/>
      <c r="P191" s="145"/>
      <c r="Q191" s="150"/>
      <c r="R191" s="150"/>
      <c r="S191" s="150"/>
      <c r="T191" s="150"/>
      <c r="U191" s="150"/>
      <c r="V191" s="150"/>
      <c r="W191" s="150"/>
      <c r="X191" s="150"/>
      <c r="Y191" s="150"/>
    </row>
    <row r="192" spans="2:25" ht="14.5" x14ac:dyDescent="0.35">
      <c r="B192" s="203"/>
      <c r="C192" s="204"/>
      <c r="D192" s="204"/>
      <c r="E192" s="203"/>
      <c r="F192" s="228"/>
      <c r="G192" s="206"/>
      <c r="H192" s="242"/>
      <c r="I192" s="235"/>
      <c r="J192" s="208"/>
      <c r="K192" s="209"/>
      <c r="L192" s="210"/>
      <c r="M192" s="211"/>
      <c r="N192" s="217"/>
      <c r="P192" s="145"/>
      <c r="Q192" s="150"/>
      <c r="R192" s="150"/>
      <c r="S192" s="150"/>
      <c r="T192" s="150"/>
      <c r="U192" s="150"/>
      <c r="V192" s="150"/>
      <c r="W192" s="150"/>
      <c r="X192" s="150"/>
      <c r="Y192" s="150"/>
    </row>
    <row r="193" spans="2:25" ht="14.5" x14ac:dyDescent="0.35">
      <c r="B193" s="203"/>
      <c r="C193" s="204"/>
      <c r="D193" s="204"/>
      <c r="E193" s="203"/>
      <c r="F193" s="228"/>
      <c r="G193" s="206"/>
      <c r="H193" s="242"/>
      <c r="I193" s="235"/>
      <c r="J193" s="208"/>
      <c r="K193" s="209"/>
      <c r="L193" s="210"/>
      <c r="M193" s="211"/>
      <c r="N193" s="217"/>
      <c r="P193" s="145"/>
      <c r="Q193" s="150"/>
      <c r="R193" s="150"/>
      <c r="S193" s="150"/>
      <c r="T193" s="150"/>
      <c r="U193" s="150"/>
      <c r="V193" s="150"/>
      <c r="W193" s="150"/>
      <c r="X193" s="150"/>
      <c r="Y193" s="150"/>
    </row>
    <row r="194" spans="2:25" ht="14.5" x14ac:dyDescent="0.35">
      <c r="B194" s="203"/>
      <c r="C194" s="204"/>
      <c r="D194" s="204"/>
      <c r="E194" s="203"/>
      <c r="F194" s="228"/>
      <c r="G194" s="206"/>
      <c r="H194" s="242"/>
      <c r="I194" s="235"/>
      <c r="J194" s="208"/>
      <c r="K194" s="209"/>
      <c r="L194" s="210"/>
      <c r="M194" s="211"/>
      <c r="N194" s="217"/>
      <c r="P194" s="145"/>
      <c r="Q194" s="150"/>
      <c r="R194" s="150"/>
      <c r="S194" s="150"/>
      <c r="T194" s="150"/>
      <c r="U194" s="150"/>
      <c r="V194" s="150"/>
      <c r="W194" s="150"/>
      <c r="X194" s="150"/>
      <c r="Y194" s="150"/>
    </row>
    <row r="195" spans="2:25" ht="14.5" x14ac:dyDescent="0.35">
      <c r="B195" s="203"/>
      <c r="C195" s="204"/>
      <c r="D195" s="204"/>
      <c r="E195" s="203"/>
      <c r="F195" s="228"/>
      <c r="G195" s="206"/>
      <c r="H195" s="242"/>
      <c r="I195" s="235"/>
      <c r="J195" s="208"/>
      <c r="K195" s="209"/>
      <c r="L195" s="210"/>
      <c r="M195" s="211"/>
      <c r="N195" s="217"/>
      <c r="P195" s="145"/>
      <c r="Q195" s="150"/>
      <c r="R195" s="150"/>
      <c r="S195" s="150"/>
      <c r="T195" s="150"/>
      <c r="U195" s="150"/>
      <c r="V195" s="150"/>
      <c r="W195" s="150"/>
      <c r="X195" s="150"/>
      <c r="Y195" s="150"/>
    </row>
    <row r="196" spans="2:25" ht="14.5" x14ac:dyDescent="0.35">
      <c r="B196" s="203"/>
      <c r="C196" s="204"/>
      <c r="D196" s="204"/>
      <c r="E196" s="203"/>
      <c r="F196" s="228"/>
      <c r="G196" s="206"/>
      <c r="H196" s="242"/>
      <c r="I196" s="235"/>
      <c r="J196" s="208"/>
      <c r="K196" s="209"/>
      <c r="L196" s="210"/>
      <c r="M196" s="211"/>
      <c r="N196" s="217"/>
      <c r="P196" s="145"/>
      <c r="Q196" s="150"/>
      <c r="R196" s="150"/>
      <c r="S196" s="150"/>
      <c r="T196" s="150"/>
      <c r="U196" s="150"/>
      <c r="V196" s="150"/>
      <c r="W196" s="150"/>
      <c r="X196" s="150"/>
      <c r="Y196" s="150"/>
    </row>
    <row r="197" spans="2:25" ht="14.5" x14ac:dyDescent="0.35">
      <c r="B197" s="203"/>
      <c r="C197" s="204"/>
      <c r="D197" s="204"/>
      <c r="E197" s="203"/>
      <c r="F197" s="228"/>
      <c r="G197" s="206"/>
      <c r="H197" s="242"/>
      <c r="I197" s="235"/>
      <c r="J197" s="208"/>
      <c r="K197" s="209"/>
      <c r="L197" s="210"/>
      <c r="M197" s="211"/>
      <c r="N197" s="217"/>
      <c r="P197" s="145"/>
      <c r="Q197" s="150"/>
      <c r="R197" s="150"/>
      <c r="S197" s="150"/>
      <c r="T197" s="150"/>
      <c r="U197" s="150"/>
      <c r="V197" s="150"/>
      <c r="W197" s="150"/>
      <c r="X197" s="150"/>
      <c r="Y197" s="150"/>
    </row>
    <row r="198" spans="2:25" ht="14.5" x14ac:dyDescent="0.35">
      <c r="B198" s="203"/>
      <c r="C198" s="204"/>
      <c r="D198" s="204"/>
      <c r="E198" s="203"/>
      <c r="F198" s="228"/>
      <c r="G198" s="206"/>
      <c r="H198" s="242"/>
      <c r="I198" s="235"/>
      <c r="J198" s="208"/>
      <c r="K198" s="209"/>
      <c r="L198" s="210"/>
      <c r="M198" s="211"/>
      <c r="N198" s="217"/>
      <c r="P198" s="145"/>
      <c r="Q198" s="150"/>
      <c r="R198" s="150"/>
      <c r="S198" s="150"/>
      <c r="T198" s="150"/>
      <c r="U198" s="150"/>
      <c r="V198" s="150"/>
      <c r="W198" s="150"/>
      <c r="X198" s="150"/>
      <c r="Y198" s="150"/>
    </row>
    <row r="199" spans="2:25" ht="14.5" x14ac:dyDescent="0.35">
      <c r="B199" s="203"/>
      <c r="C199" s="204"/>
      <c r="D199" s="204"/>
      <c r="E199" s="203"/>
      <c r="F199" s="228"/>
      <c r="G199" s="206"/>
      <c r="H199" s="242"/>
      <c r="I199" s="235"/>
      <c r="J199" s="208"/>
      <c r="K199" s="209"/>
      <c r="L199" s="210"/>
      <c r="M199" s="211"/>
      <c r="N199" s="217"/>
      <c r="P199" s="145"/>
      <c r="Q199" s="150"/>
      <c r="R199" s="150"/>
      <c r="S199" s="150"/>
      <c r="T199" s="150"/>
      <c r="U199" s="150"/>
      <c r="V199" s="150"/>
      <c r="W199" s="150"/>
      <c r="X199" s="150"/>
      <c r="Y199" s="150"/>
    </row>
    <row r="200" spans="2:25" ht="14.5" x14ac:dyDescent="0.35">
      <c r="B200" s="203"/>
      <c r="C200" s="204"/>
      <c r="D200" s="204"/>
      <c r="E200" s="203"/>
      <c r="F200" s="228"/>
      <c r="G200" s="206"/>
      <c r="H200" s="242"/>
      <c r="I200" s="235"/>
      <c r="J200" s="208"/>
      <c r="K200" s="209"/>
      <c r="L200" s="210"/>
      <c r="M200" s="211"/>
      <c r="N200" s="217"/>
      <c r="P200" s="145"/>
      <c r="Q200" s="150"/>
      <c r="R200" s="150"/>
      <c r="S200" s="150"/>
      <c r="T200" s="150"/>
      <c r="U200" s="150"/>
      <c r="V200" s="150"/>
      <c r="W200" s="150"/>
      <c r="X200" s="150"/>
      <c r="Y200" s="150"/>
    </row>
    <row r="201" spans="2:25" ht="14.5" x14ac:dyDescent="0.35">
      <c r="B201" s="203"/>
      <c r="C201" s="204"/>
      <c r="D201" s="204"/>
      <c r="E201" s="203"/>
      <c r="F201" s="228"/>
      <c r="G201" s="206"/>
      <c r="H201" s="242"/>
      <c r="I201" s="235"/>
      <c r="J201" s="208"/>
      <c r="K201" s="209"/>
      <c r="L201" s="210"/>
      <c r="M201" s="211"/>
      <c r="N201" s="217"/>
      <c r="P201" s="145"/>
      <c r="Q201" s="150"/>
      <c r="R201" s="150"/>
      <c r="S201" s="150"/>
      <c r="T201" s="150"/>
      <c r="U201" s="150"/>
      <c r="V201" s="150"/>
      <c r="W201" s="150"/>
      <c r="X201" s="150"/>
      <c r="Y201" s="150"/>
    </row>
    <row r="202" spans="2:25" ht="14.5" x14ac:dyDescent="0.35">
      <c r="B202" s="203"/>
      <c r="C202" s="204"/>
      <c r="D202" s="204"/>
      <c r="E202" s="203"/>
      <c r="F202" s="228"/>
      <c r="G202" s="206"/>
      <c r="H202" s="242"/>
      <c r="I202" s="235"/>
      <c r="J202" s="208"/>
      <c r="K202" s="209"/>
      <c r="L202" s="210"/>
      <c r="M202" s="211"/>
      <c r="N202" s="217"/>
      <c r="P202" s="145"/>
      <c r="Q202" s="150"/>
      <c r="R202" s="150"/>
      <c r="S202" s="150"/>
      <c r="T202" s="150"/>
      <c r="U202" s="150"/>
      <c r="V202" s="150"/>
      <c r="W202" s="150"/>
      <c r="X202" s="150"/>
      <c r="Y202" s="150"/>
    </row>
    <row r="203" spans="2:25" ht="14.5" x14ac:dyDescent="0.35">
      <c r="B203" s="203"/>
      <c r="C203" s="204"/>
      <c r="D203" s="204"/>
      <c r="E203" s="203"/>
      <c r="F203" s="228"/>
      <c r="G203" s="206"/>
      <c r="H203" s="242"/>
      <c r="I203" s="235"/>
      <c r="J203" s="208"/>
      <c r="K203" s="209"/>
      <c r="L203" s="236"/>
      <c r="M203" s="211"/>
      <c r="N203" s="217"/>
      <c r="P203" s="145"/>
      <c r="Q203" s="150"/>
      <c r="R203" s="150"/>
      <c r="S203" s="150"/>
      <c r="T203" s="150"/>
      <c r="U203" s="150"/>
      <c r="V203" s="150"/>
      <c r="W203" s="150"/>
      <c r="X203" s="150"/>
      <c r="Y203" s="150"/>
    </row>
    <row r="204" spans="2:25" ht="14.5" x14ac:dyDescent="0.35">
      <c r="B204" s="203"/>
      <c r="C204" s="204"/>
      <c r="D204" s="204"/>
      <c r="E204" s="203"/>
      <c r="F204" s="228"/>
      <c r="G204" s="206"/>
      <c r="H204" s="242"/>
      <c r="I204" s="235"/>
      <c r="J204" s="208"/>
      <c r="K204" s="209"/>
      <c r="L204" s="210"/>
      <c r="M204" s="211"/>
      <c r="N204" s="217"/>
      <c r="P204" s="145"/>
      <c r="Q204" s="150"/>
      <c r="R204" s="150"/>
      <c r="S204" s="150"/>
      <c r="T204" s="150"/>
      <c r="U204" s="150"/>
      <c r="V204" s="150"/>
      <c r="W204" s="150"/>
      <c r="X204" s="150"/>
      <c r="Y204" s="150"/>
    </row>
    <row r="205" spans="2:25" ht="14.5" x14ac:dyDescent="0.35">
      <c r="B205" s="203">
        <v>194</v>
      </c>
      <c r="C205" s="204">
        <f t="shared" ref="C205:C268" si="2">IFERROR(DAY(F205),0)</f>
        <v>0</v>
      </c>
      <c r="D205" s="204" t="str">
        <f t="shared" ref="D205:D268" si="3">IFERROR(IF(F205="","",TEXT(DATE(0,MONTH(F205),1),"MMM")),"date issue")</f>
        <v/>
      </c>
      <c r="E205" s="203" t="str">
        <f t="shared" ref="E205:E268" si="4">IFERROR(IF(OR(C205=1,C205=2,C205=3,C205=4,C205=5,C205=6,C205=7),1,IF(OR(C205=8,C205=9,C205=10,C205=11,C205=12,C205=13,C205=14),2,IF(OR(C205=15,C205=16,C205=17,C205=18,C205=19,C205=20,C205=21),3,IF(OR(C205=22,C205=23,C205=24,C205=25,C205=26,C205=27,C205=28),4,IF(OR(C205=29,C205=30,C205=31),5,""))))),0)</f>
        <v/>
      </c>
      <c r="F205" s="228"/>
      <c r="G205" s="206"/>
      <c r="H205" s="242"/>
      <c r="I205" s="235"/>
      <c r="J205" s="208"/>
      <c r="K205" s="209"/>
      <c r="L205" s="210"/>
      <c r="M205" s="211"/>
      <c r="N205" s="217"/>
      <c r="P205" s="145"/>
      <c r="Q205" s="150"/>
      <c r="R205" s="150"/>
      <c r="S205" s="150"/>
      <c r="T205" s="150"/>
      <c r="U205" s="150"/>
      <c r="V205" s="150"/>
      <c r="W205" s="150"/>
      <c r="X205" s="150"/>
      <c r="Y205" s="150"/>
    </row>
    <row r="206" spans="2:25" ht="14.5" x14ac:dyDescent="0.35">
      <c r="B206" s="203">
        <v>195</v>
      </c>
      <c r="C206" s="204">
        <f t="shared" si="2"/>
        <v>0</v>
      </c>
      <c r="D206" s="204" t="str">
        <f t="shared" si="3"/>
        <v/>
      </c>
      <c r="E206" s="203" t="str">
        <f t="shared" si="4"/>
        <v/>
      </c>
      <c r="F206" s="228"/>
      <c r="G206" s="206"/>
      <c r="H206" s="242"/>
      <c r="I206" s="235"/>
      <c r="J206" s="208"/>
      <c r="K206" s="209"/>
      <c r="L206" s="210"/>
      <c r="M206" s="211"/>
      <c r="N206" s="217"/>
      <c r="P206" s="145"/>
      <c r="Q206" s="150"/>
      <c r="R206" s="150"/>
      <c r="S206" s="150"/>
      <c r="T206" s="150"/>
      <c r="U206" s="150"/>
      <c r="V206" s="150"/>
      <c r="W206" s="150"/>
      <c r="X206" s="150"/>
      <c r="Y206" s="150"/>
    </row>
    <row r="207" spans="2:25" ht="14.5" x14ac:dyDescent="0.35">
      <c r="B207" s="203">
        <v>196</v>
      </c>
      <c r="C207" s="204">
        <f t="shared" si="2"/>
        <v>0</v>
      </c>
      <c r="D207" s="204" t="str">
        <f t="shared" si="3"/>
        <v/>
      </c>
      <c r="E207" s="203" t="str">
        <f t="shared" si="4"/>
        <v/>
      </c>
      <c r="F207" s="228"/>
      <c r="G207" s="206"/>
      <c r="H207" s="242"/>
      <c r="I207" s="235"/>
      <c r="J207" s="208"/>
      <c r="K207" s="209"/>
      <c r="L207" s="210"/>
      <c r="M207" s="211"/>
      <c r="N207" s="217"/>
      <c r="P207" s="145"/>
      <c r="Q207" s="150"/>
      <c r="R207" s="150"/>
      <c r="S207" s="150"/>
      <c r="T207" s="150"/>
      <c r="U207" s="150"/>
      <c r="V207" s="150"/>
      <c r="W207" s="150"/>
      <c r="X207" s="150"/>
      <c r="Y207" s="150"/>
    </row>
    <row r="208" spans="2:25" ht="14.5" x14ac:dyDescent="0.35">
      <c r="B208" s="203">
        <v>197</v>
      </c>
      <c r="C208" s="204">
        <f t="shared" si="2"/>
        <v>0</v>
      </c>
      <c r="D208" s="204" t="str">
        <f t="shared" si="3"/>
        <v/>
      </c>
      <c r="E208" s="203" t="str">
        <f t="shared" si="4"/>
        <v/>
      </c>
      <c r="F208" s="228"/>
      <c r="G208" s="206"/>
      <c r="H208" s="242"/>
      <c r="I208" s="235"/>
      <c r="J208" s="208"/>
      <c r="K208" s="209"/>
      <c r="L208" s="210"/>
      <c r="M208" s="211"/>
      <c r="N208" s="217"/>
      <c r="P208" s="145"/>
      <c r="Q208" s="150"/>
      <c r="R208" s="150"/>
      <c r="S208" s="150"/>
      <c r="T208" s="150"/>
      <c r="U208" s="150"/>
      <c r="V208" s="150"/>
      <c r="W208" s="150"/>
      <c r="X208" s="150"/>
      <c r="Y208" s="150"/>
    </row>
    <row r="209" spans="2:25" ht="14.5" x14ac:dyDescent="0.35">
      <c r="B209" s="203">
        <v>198</v>
      </c>
      <c r="C209" s="204">
        <f t="shared" si="2"/>
        <v>0</v>
      </c>
      <c r="D209" s="204" t="str">
        <f t="shared" si="3"/>
        <v/>
      </c>
      <c r="E209" s="203" t="str">
        <f t="shared" si="4"/>
        <v/>
      </c>
      <c r="F209" s="228"/>
      <c r="G209" s="206"/>
      <c r="H209" s="242"/>
      <c r="I209" s="235"/>
      <c r="J209" s="208"/>
      <c r="K209" s="209"/>
      <c r="L209" s="210"/>
      <c r="M209" s="211"/>
      <c r="N209" s="217"/>
      <c r="P209" s="145"/>
      <c r="Q209" s="150"/>
      <c r="R209" s="150"/>
      <c r="S209" s="150"/>
      <c r="T209" s="150"/>
      <c r="U209" s="150"/>
      <c r="V209" s="150"/>
      <c r="W209" s="150"/>
      <c r="X209" s="150"/>
      <c r="Y209" s="150"/>
    </row>
    <row r="210" spans="2:25" ht="14.5" x14ac:dyDescent="0.35">
      <c r="B210" s="203">
        <v>199</v>
      </c>
      <c r="C210" s="204">
        <f t="shared" si="2"/>
        <v>0</v>
      </c>
      <c r="D210" s="204" t="str">
        <f t="shared" si="3"/>
        <v/>
      </c>
      <c r="E210" s="203" t="str">
        <f t="shared" si="4"/>
        <v/>
      </c>
      <c r="F210" s="228"/>
      <c r="G210" s="206"/>
      <c r="H210" s="242"/>
      <c r="I210" s="235"/>
      <c r="J210" s="208"/>
      <c r="K210" s="209"/>
      <c r="L210" s="210"/>
      <c r="M210" s="211"/>
      <c r="N210" s="217"/>
      <c r="P210" s="145"/>
      <c r="Q210" s="150"/>
      <c r="R210" s="150"/>
      <c r="S210" s="150"/>
      <c r="T210" s="150"/>
      <c r="U210" s="150"/>
      <c r="V210" s="150"/>
      <c r="W210" s="150"/>
      <c r="X210" s="150"/>
      <c r="Y210" s="150"/>
    </row>
    <row r="211" spans="2:25" ht="14.5" x14ac:dyDescent="0.35">
      <c r="B211" s="203">
        <v>200</v>
      </c>
      <c r="C211" s="204">
        <f t="shared" si="2"/>
        <v>0</v>
      </c>
      <c r="D211" s="204" t="str">
        <f t="shared" si="3"/>
        <v/>
      </c>
      <c r="E211" s="203" t="str">
        <f t="shared" si="4"/>
        <v/>
      </c>
      <c r="F211" s="228"/>
      <c r="G211" s="206"/>
      <c r="H211" s="242"/>
      <c r="I211" s="235"/>
      <c r="J211" s="208"/>
      <c r="K211" s="209"/>
      <c r="L211" s="210"/>
      <c r="M211" s="211"/>
      <c r="N211" s="217"/>
      <c r="P211" s="145"/>
      <c r="Q211" s="150"/>
      <c r="R211" s="150"/>
      <c r="S211" s="150"/>
      <c r="T211" s="150"/>
      <c r="U211" s="150"/>
      <c r="V211" s="150"/>
      <c r="W211" s="150"/>
      <c r="X211" s="150"/>
      <c r="Y211" s="150"/>
    </row>
    <row r="212" spans="2:25" ht="14.5" x14ac:dyDescent="0.35">
      <c r="B212" s="203">
        <v>201</v>
      </c>
      <c r="C212" s="204">
        <f t="shared" si="2"/>
        <v>0</v>
      </c>
      <c r="D212" s="204" t="str">
        <f t="shared" si="3"/>
        <v/>
      </c>
      <c r="E212" s="203" t="str">
        <f t="shared" si="4"/>
        <v/>
      </c>
      <c r="F212" s="228"/>
      <c r="G212" s="206"/>
      <c r="H212" s="242"/>
      <c r="I212" s="235"/>
      <c r="J212" s="208"/>
      <c r="K212" s="209"/>
      <c r="L212" s="210"/>
      <c r="M212" s="211"/>
      <c r="N212" s="217"/>
      <c r="P212" s="145"/>
      <c r="Q212" s="150"/>
      <c r="R212" s="150"/>
      <c r="S212" s="150"/>
      <c r="T212" s="150"/>
      <c r="U212" s="150"/>
      <c r="V212" s="150"/>
      <c r="W212" s="150"/>
      <c r="X212" s="150"/>
      <c r="Y212" s="150"/>
    </row>
    <row r="213" spans="2:25" ht="14.5" x14ac:dyDescent="0.35">
      <c r="B213" s="203">
        <v>202</v>
      </c>
      <c r="C213" s="204">
        <f t="shared" si="2"/>
        <v>0</v>
      </c>
      <c r="D213" s="204" t="str">
        <f t="shared" si="3"/>
        <v/>
      </c>
      <c r="E213" s="203" t="str">
        <f t="shared" si="4"/>
        <v/>
      </c>
      <c r="F213" s="228"/>
      <c r="G213" s="206"/>
      <c r="H213" s="242"/>
      <c r="I213" s="235"/>
      <c r="J213" s="208"/>
      <c r="K213" s="209"/>
      <c r="L213" s="210"/>
      <c r="M213" s="211"/>
      <c r="N213" s="217"/>
      <c r="P213" s="145"/>
      <c r="Q213" s="150"/>
      <c r="R213" s="150"/>
      <c r="S213" s="150"/>
      <c r="T213" s="150"/>
      <c r="U213" s="150"/>
      <c r="V213" s="150"/>
      <c r="W213" s="150"/>
      <c r="X213" s="150"/>
      <c r="Y213" s="150"/>
    </row>
    <row r="214" spans="2:25" ht="14.5" x14ac:dyDescent="0.35">
      <c r="B214" s="203">
        <v>203</v>
      </c>
      <c r="C214" s="204">
        <f t="shared" si="2"/>
        <v>0</v>
      </c>
      <c r="D214" s="204" t="str">
        <f t="shared" si="3"/>
        <v/>
      </c>
      <c r="E214" s="203" t="str">
        <f t="shared" si="4"/>
        <v/>
      </c>
      <c r="F214" s="228"/>
      <c r="G214" s="206"/>
      <c r="H214" s="242"/>
      <c r="I214" s="235"/>
      <c r="J214" s="208"/>
      <c r="K214" s="209"/>
      <c r="L214" s="210"/>
      <c r="M214" s="211"/>
      <c r="N214" s="217"/>
      <c r="P214" s="145"/>
      <c r="Q214" s="150"/>
      <c r="R214" s="150"/>
      <c r="S214" s="150"/>
      <c r="T214" s="150"/>
      <c r="U214" s="150"/>
      <c r="V214" s="150"/>
      <c r="W214" s="150"/>
      <c r="X214" s="150"/>
      <c r="Y214" s="150"/>
    </row>
    <row r="215" spans="2:25" ht="14.5" x14ac:dyDescent="0.35">
      <c r="B215" s="203">
        <f t="shared" ref="B215:B278" si="5">B214+1</f>
        <v>204</v>
      </c>
      <c r="C215" s="204">
        <f t="shared" si="2"/>
        <v>0</v>
      </c>
      <c r="D215" s="204" t="str">
        <f t="shared" si="3"/>
        <v/>
      </c>
      <c r="E215" s="203" t="str">
        <f t="shared" si="4"/>
        <v/>
      </c>
      <c r="F215" s="228"/>
      <c r="G215" s="206"/>
      <c r="H215" s="242"/>
      <c r="I215" s="235"/>
      <c r="J215" s="208"/>
      <c r="K215" s="209"/>
      <c r="L215" s="210"/>
      <c r="M215" s="211"/>
      <c r="N215" s="217"/>
      <c r="P215" s="145"/>
      <c r="Q215" s="150"/>
      <c r="R215" s="150"/>
      <c r="S215" s="150"/>
      <c r="T215" s="150"/>
      <c r="U215" s="150"/>
      <c r="V215" s="150"/>
      <c r="W215" s="150"/>
      <c r="X215" s="150"/>
      <c r="Y215" s="150"/>
    </row>
    <row r="216" spans="2:25" ht="14.5" x14ac:dyDescent="0.35">
      <c r="B216" s="203">
        <f t="shared" si="5"/>
        <v>205</v>
      </c>
      <c r="C216" s="204">
        <f t="shared" si="2"/>
        <v>0</v>
      </c>
      <c r="D216" s="204" t="str">
        <f t="shared" si="3"/>
        <v/>
      </c>
      <c r="E216" s="203" t="str">
        <f t="shared" si="4"/>
        <v/>
      </c>
      <c r="F216" s="228"/>
      <c r="G216" s="206"/>
      <c r="H216" s="242"/>
      <c r="I216" s="235"/>
      <c r="J216" s="208"/>
      <c r="K216" s="209"/>
      <c r="L216" s="210"/>
      <c r="M216" s="211"/>
      <c r="N216" s="217"/>
      <c r="P216" s="145"/>
      <c r="Q216" s="150"/>
      <c r="R216" s="150"/>
      <c r="S216" s="150"/>
      <c r="T216" s="150"/>
      <c r="U216" s="150"/>
      <c r="V216" s="150"/>
      <c r="W216" s="150"/>
      <c r="X216" s="150"/>
      <c r="Y216" s="150"/>
    </row>
    <row r="217" spans="2:25" ht="14.5" x14ac:dyDescent="0.35">
      <c r="B217" s="203">
        <f t="shared" si="5"/>
        <v>206</v>
      </c>
      <c r="C217" s="204">
        <f t="shared" si="2"/>
        <v>0</v>
      </c>
      <c r="D217" s="204" t="str">
        <f t="shared" si="3"/>
        <v/>
      </c>
      <c r="E217" s="203" t="str">
        <f t="shared" si="4"/>
        <v/>
      </c>
      <c r="F217" s="228"/>
      <c r="G217" s="206"/>
      <c r="H217" s="242"/>
      <c r="I217" s="235"/>
      <c r="J217" s="208"/>
      <c r="K217" s="209"/>
      <c r="L217" s="210"/>
      <c r="M217" s="211"/>
      <c r="N217" s="217"/>
      <c r="P217" s="145"/>
      <c r="Q217" s="150"/>
      <c r="R217" s="150"/>
      <c r="S217" s="150"/>
      <c r="T217" s="150"/>
      <c r="U217" s="150"/>
      <c r="V217" s="150"/>
      <c r="W217" s="150"/>
      <c r="X217" s="150"/>
      <c r="Y217" s="150"/>
    </row>
    <row r="218" spans="2:25" ht="14.5" x14ac:dyDescent="0.35">
      <c r="B218" s="203">
        <f t="shared" si="5"/>
        <v>207</v>
      </c>
      <c r="C218" s="204">
        <f t="shared" si="2"/>
        <v>0</v>
      </c>
      <c r="D218" s="204" t="str">
        <f t="shared" si="3"/>
        <v/>
      </c>
      <c r="E218" s="203" t="str">
        <f t="shared" si="4"/>
        <v/>
      </c>
      <c r="F218" s="228"/>
      <c r="G218" s="206"/>
      <c r="H218" s="242"/>
      <c r="I218" s="235"/>
      <c r="J218" s="208"/>
      <c r="K218" s="209"/>
      <c r="L218" s="210"/>
      <c r="M218" s="211"/>
      <c r="N218" s="217"/>
      <c r="P218" s="145"/>
      <c r="Q218" s="150"/>
      <c r="R218" s="150"/>
      <c r="S218" s="150"/>
      <c r="T218" s="150"/>
      <c r="U218" s="150"/>
      <c r="V218" s="150"/>
      <c r="W218" s="150"/>
      <c r="X218" s="150"/>
      <c r="Y218" s="150"/>
    </row>
    <row r="219" spans="2:25" ht="14.5" x14ac:dyDescent="0.35">
      <c r="B219" s="203"/>
      <c r="C219" s="204">
        <f t="shared" si="2"/>
        <v>0</v>
      </c>
      <c r="D219" s="204" t="str">
        <f t="shared" si="3"/>
        <v/>
      </c>
      <c r="E219" s="203" t="str">
        <f t="shared" si="4"/>
        <v/>
      </c>
      <c r="F219" s="228"/>
      <c r="G219" s="206"/>
      <c r="H219" s="242"/>
      <c r="I219" s="235"/>
      <c r="J219" s="208"/>
      <c r="K219" s="209"/>
      <c r="L219" s="210"/>
      <c r="M219" s="211"/>
      <c r="N219" s="217"/>
      <c r="P219" s="145"/>
      <c r="Q219" s="150"/>
      <c r="R219" s="150"/>
      <c r="S219" s="150"/>
      <c r="T219" s="150"/>
      <c r="U219" s="150"/>
      <c r="V219" s="150"/>
      <c r="W219" s="150"/>
      <c r="X219" s="150"/>
      <c r="Y219" s="150"/>
    </row>
    <row r="220" spans="2:25" ht="14.5" x14ac:dyDescent="0.35">
      <c r="B220" s="203">
        <f>B218+1</f>
        <v>208</v>
      </c>
      <c r="C220" s="204">
        <f t="shared" si="2"/>
        <v>0</v>
      </c>
      <c r="D220" s="204" t="str">
        <f t="shared" si="3"/>
        <v/>
      </c>
      <c r="E220" s="203" t="str">
        <f t="shared" si="4"/>
        <v/>
      </c>
      <c r="F220" s="228"/>
      <c r="G220" s="206"/>
      <c r="H220" s="242"/>
      <c r="I220" s="235"/>
      <c r="J220" s="208"/>
      <c r="K220" s="209"/>
      <c r="L220" s="210"/>
      <c r="M220" s="211"/>
      <c r="N220" s="217"/>
      <c r="P220" s="145"/>
      <c r="Q220" s="150"/>
      <c r="R220" s="150"/>
      <c r="S220" s="150"/>
      <c r="T220" s="150"/>
      <c r="U220" s="150"/>
      <c r="V220" s="150"/>
      <c r="W220" s="150"/>
      <c r="X220" s="150"/>
      <c r="Y220" s="150"/>
    </row>
    <row r="221" spans="2:25" ht="14.5" x14ac:dyDescent="0.35">
      <c r="B221" s="203">
        <f t="shared" si="5"/>
        <v>209</v>
      </c>
      <c r="C221" s="204">
        <f t="shared" si="2"/>
        <v>0</v>
      </c>
      <c r="D221" s="204" t="str">
        <f t="shared" si="3"/>
        <v/>
      </c>
      <c r="E221" s="203" t="str">
        <f t="shared" si="4"/>
        <v/>
      </c>
      <c r="F221" s="228"/>
      <c r="G221" s="206"/>
      <c r="H221" s="242"/>
      <c r="I221" s="235"/>
      <c r="J221" s="208"/>
      <c r="K221" s="209"/>
      <c r="L221" s="210"/>
      <c r="M221" s="211"/>
      <c r="N221" s="217"/>
      <c r="P221" s="145"/>
      <c r="Q221" s="150"/>
      <c r="R221" s="150"/>
      <c r="S221" s="150"/>
      <c r="T221" s="150"/>
      <c r="U221" s="150"/>
      <c r="V221" s="150"/>
      <c r="W221" s="150"/>
      <c r="X221" s="150"/>
      <c r="Y221" s="150"/>
    </row>
    <row r="222" spans="2:25" ht="14.5" x14ac:dyDescent="0.35">
      <c r="B222" s="203">
        <f t="shared" si="5"/>
        <v>210</v>
      </c>
      <c r="C222" s="204">
        <f t="shared" si="2"/>
        <v>0</v>
      </c>
      <c r="D222" s="204" t="str">
        <f t="shared" si="3"/>
        <v/>
      </c>
      <c r="E222" s="203" t="str">
        <f t="shared" si="4"/>
        <v/>
      </c>
      <c r="F222" s="228"/>
      <c r="G222" s="206"/>
      <c r="H222" s="242"/>
      <c r="I222" s="235"/>
      <c r="J222" s="208"/>
      <c r="K222" s="209"/>
      <c r="L222" s="210"/>
      <c r="M222" s="211"/>
      <c r="N222" s="217"/>
      <c r="P222" s="145"/>
      <c r="Q222" s="150"/>
      <c r="R222" s="150"/>
      <c r="S222" s="150"/>
      <c r="T222" s="150"/>
      <c r="U222" s="150"/>
      <c r="V222" s="150"/>
      <c r="W222" s="150"/>
      <c r="X222" s="150"/>
      <c r="Y222" s="150"/>
    </row>
    <row r="223" spans="2:25" ht="14.5" x14ac:dyDescent="0.35">
      <c r="B223" s="203">
        <f t="shared" si="5"/>
        <v>211</v>
      </c>
      <c r="C223" s="204">
        <f t="shared" si="2"/>
        <v>0</v>
      </c>
      <c r="D223" s="204" t="str">
        <f t="shared" si="3"/>
        <v/>
      </c>
      <c r="E223" s="203" t="str">
        <f t="shared" si="4"/>
        <v/>
      </c>
      <c r="F223" s="228"/>
      <c r="G223" s="206"/>
      <c r="H223" s="242"/>
      <c r="I223" s="235"/>
      <c r="J223" s="208"/>
      <c r="K223" s="209"/>
      <c r="L223" s="210"/>
      <c r="M223" s="211"/>
      <c r="N223" s="217"/>
      <c r="P223" s="145"/>
      <c r="Q223" s="150"/>
      <c r="R223" s="150"/>
      <c r="S223" s="150"/>
      <c r="T223" s="150"/>
      <c r="U223" s="150"/>
      <c r="V223" s="150"/>
      <c r="W223" s="150"/>
      <c r="X223" s="150"/>
      <c r="Y223" s="150"/>
    </row>
    <row r="224" spans="2:25" ht="14.5" x14ac:dyDescent="0.35">
      <c r="B224" s="203">
        <f t="shared" si="5"/>
        <v>212</v>
      </c>
      <c r="C224" s="204">
        <f t="shared" si="2"/>
        <v>0</v>
      </c>
      <c r="D224" s="204" t="str">
        <f t="shared" si="3"/>
        <v/>
      </c>
      <c r="E224" s="203" t="str">
        <f t="shared" si="4"/>
        <v/>
      </c>
      <c r="F224" s="228"/>
      <c r="G224" s="206"/>
      <c r="H224" s="242"/>
      <c r="I224" s="235"/>
      <c r="J224" s="208"/>
      <c r="K224" s="209"/>
      <c r="L224" s="210"/>
      <c r="M224" s="211"/>
      <c r="N224" s="217"/>
      <c r="P224" s="145"/>
      <c r="Q224" s="150"/>
      <c r="R224" s="150"/>
      <c r="S224" s="150"/>
      <c r="T224" s="150"/>
      <c r="U224" s="150"/>
      <c r="V224" s="150"/>
      <c r="W224" s="150"/>
      <c r="X224" s="150"/>
      <c r="Y224" s="150"/>
    </row>
    <row r="225" spans="2:25" ht="14.5" x14ac:dyDescent="0.35">
      <c r="B225" s="203">
        <f t="shared" si="5"/>
        <v>213</v>
      </c>
      <c r="C225" s="204">
        <f t="shared" si="2"/>
        <v>0</v>
      </c>
      <c r="D225" s="204" t="str">
        <f t="shared" si="3"/>
        <v/>
      </c>
      <c r="E225" s="203" t="str">
        <f t="shared" si="4"/>
        <v/>
      </c>
      <c r="F225" s="228"/>
      <c r="G225" s="206"/>
      <c r="H225" s="242"/>
      <c r="I225" s="235"/>
      <c r="J225" s="208"/>
      <c r="K225" s="209"/>
      <c r="L225" s="210"/>
      <c r="M225" s="211"/>
      <c r="N225" s="217"/>
      <c r="P225" s="145"/>
      <c r="Q225" s="150"/>
      <c r="R225" s="150"/>
      <c r="S225" s="150"/>
      <c r="T225" s="150"/>
      <c r="U225" s="150"/>
      <c r="V225" s="150"/>
      <c r="W225" s="150"/>
      <c r="X225" s="150"/>
      <c r="Y225" s="150"/>
    </row>
    <row r="226" spans="2:25" ht="14.5" x14ac:dyDescent="0.35">
      <c r="B226" s="203">
        <f t="shared" si="5"/>
        <v>214</v>
      </c>
      <c r="C226" s="204">
        <f t="shared" si="2"/>
        <v>0</v>
      </c>
      <c r="D226" s="204" t="str">
        <f t="shared" si="3"/>
        <v/>
      </c>
      <c r="E226" s="203" t="str">
        <f t="shared" si="4"/>
        <v/>
      </c>
      <c r="F226" s="228"/>
      <c r="G226" s="206"/>
      <c r="H226" s="242"/>
      <c r="I226" s="235"/>
      <c r="J226" s="208"/>
      <c r="K226" s="209"/>
      <c r="L226" s="210"/>
      <c r="M226" s="211"/>
      <c r="N226" s="217"/>
      <c r="P226" s="145"/>
      <c r="Q226" s="150"/>
      <c r="R226" s="150"/>
      <c r="S226" s="150"/>
      <c r="T226" s="150"/>
      <c r="U226" s="150"/>
      <c r="V226" s="150"/>
      <c r="W226" s="150"/>
      <c r="X226" s="150"/>
      <c r="Y226" s="150"/>
    </row>
    <row r="227" spans="2:25" ht="14.5" x14ac:dyDescent="0.35">
      <c r="B227" s="203">
        <f t="shared" si="5"/>
        <v>215</v>
      </c>
      <c r="C227" s="204">
        <f t="shared" si="2"/>
        <v>0</v>
      </c>
      <c r="D227" s="204" t="str">
        <f t="shared" si="3"/>
        <v/>
      </c>
      <c r="E227" s="203" t="str">
        <f t="shared" si="4"/>
        <v/>
      </c>
      <c r="F227" s="228"/>
      <c r="G227" s="206"/>
      <c r="H227" s="242"/>
      <c r="I227" s="235"/>
      <c r="J227" s="208"/>
      <c r="K227" s="209"/>
      <c r="L227" s="210"/>
      <c r="M227" s="211"/>
      <c r="N227" s="217"/>
      <c r="P227" s="145"/>
      <c r="Q227" s="150"/>
      <c r="R227" s="150"/>
      <c r="S227" s="150"/>
      <c r="T227" s="150"/>
      <c r="U227" s="150"/>
      <c r="V227" s="150"/>
      <c r="W227" s="150"/>
      <c r="X227" s="150"/>
      <c r="Y227" s="150"/>
    </row>
    <row r="228" spans="2:25" ht="14.5" x14ac:dyDescent="0.35">
      <c r="B228" s="203">
        <f t="shared" si="5"/>
        <v>216</v>
      </c>
      <c r="C228" s="204">
        <f t="shared" si="2"/>
        <v>0</v>
      </c>
      <c r="D228" s="204" t="str">
        <f t="shared" si="3"/>
        <v/>
      </c>
      <c r="E228" s="203" t="str">
        <f t="shared" si="4"/>
        <v/>
      </c>
      <c r="F228" s="228"/>
      <c r="G228" s="206"/>
      <c r="H228" s="242"/>
      <c r="I228" s="235"/>
      <c r="J228" s="208"/>
      <c r="K228" s="209"/>
      <c r="L228" s="210"/>
      <c r="M228" s="211"/>
      <c r="N228" s="217"/>
      <c r="P228" s="145"/>
      <c r="Q228" s="150"/>
      <c r="R228" s="150"/>
      <c r="S228" s="150"/>
      <c r="T228" s="150"/>
      <c r="U228" s="150"/>
      <c r="V228" s="150"/>
      <c r="W228" s="150"/>
      <c r="X228" s="150"/>
      <c r="Y228" s="150"/>
    </row>
    <row r="229" spans="2:25" ht="14.5" x14ac:dyDescent="0.35">
      <c r="B229" s="203">
        <f t="shared" si="5"/>
        <v>217</v>
      </c>
      <c r="C229" s="204">
        <f t="shared" si="2"/>
        <v>0</v>
      </c>
      <c r="D229" s="204" t="str">
        <f t="shared" si="3"/>
        <v/>
      </c>
      <c r="E229" s="203" t="str">
        <f t="shared" si="4"/>
        <v/>
      </c>
      <c r="F229" s="228"/>
      <c r="G229" s="206"/>
      <c r="H229" s="242"/>
      <c r="I229" s="235"/>
      <c r="J229" s="208"/>
      <c r="K229" s="209"/>
      <c r="L229" s="210"/>
      <c r="M229" s="211"/>
      <c r="N229" s="217"/>
      <c r="P229" s="145"/>
      <c r="Q229" s="150"/>
      <c r="R229" s="150"/>
      <c r="S229" s="150"/>
      <c r="T229" s="150"/>
      <c r="U229" s="150"/>
      <c r="V229" s="150"/>
      <c r="W229" s="150"/>
      <c r="X229" s="150"/>
      <c r="Y229" s="150"/>
    </row>
    <row r="230" spans="2:25" ht="14.5" x14ac:dyDescent="0.35">
      <c r="B230" s="203">
        <f t="shared" si="5"/>
        <v>218</v>
      </c>
      <c r="C230" s="204">
        <f t="shared" si="2"/>
        <v>0</v>
      </c>
      <c r="D230" s="204" t="str">
        <f t="shared" si="3"/>
        <v/>
      </c>
      <c r="E230" s="203" t="str">
        <f t="shared" si="4"/>
        <v/>
      </c>
      <c r="F230" s="228"/>
      <c r="G230" s="206"/>
      <c r="H230" s="242"/>
      <c r="I230" s="235"/>
      <c r="J230" s="208"/>
      <c r="K230" s="209"/>
      <c r="L230" s="210"/>
      <c r="M230" s="211"/>
      <c r="N230" s="217"/>
      <c r="P230" s="145"/>
      <c r="Q230" s="150"/>
      <c r="R230" s="150"/>
      <c r="S230" s="150"/>
      <c r="T230" s="150"/>
      <c r="U230" s="150"/>
      <c r="V230" s="150"/>
      <c r="W230" s="150"/>
      <c r="X230" s="150"/>
      <c r="Y230" s="150"/>
    </row>
    <row r="231" spans="2:25" s="244" customFormat="1" ht="14.5" x14ac:dyDescent="0.35">
      <c r="B231" s="245">
        <f t="shared" si="5"/>
        <v>219</v>
      </c>
      <c r="C231" s="246">
        <f t="shared" si="2"/>
        <v>0</v>
      </c>
      <c r="D231" s="246" t="str">
        <f t="shared" si="3"/>
        <v/>
      </c>
      <c r="E231" s="245" t="str">
        <f t="shared" si="4"/>
        <v/>
      </c>
      <c r="F231" s="228"/>
      <c r="G231" s="206"/>
      <c r="H231" s="242"/>
      <c r="I231" s="235"/>
      <c r="J231" s="208"/>
      <c r="K231" s="209"/>
      <c r="L231" s="210"/>
      <c r="M231" s="211"/>
      <c r="N231" s="217"/>
      <c r="O231" s="151"/>
      <c r="Q231" s="150"/>
      <c r="R231" s="150"/>
      <c r="S231" s="150"/>
      <c r="T231" s="150"/>
      <c r="U231" s="150"/>
      <c r="V231" s="150"/>
      <c r="W231" s="150"/>
      <c r="X231" s="150"/>
      <c r="Y231" s="150"/>
    </row>
    <row r="232" spans="2:25" ht="14.5" x14ac:dyDescent="0.35">
      <c r="B232" s="203">
        <f t="shared" si="5"/>
        <v>220</v>
      </c>
      <c r="C232" s="204">
        <f t="shared" si="2"/>
        <v>0</v>
      </c>
      <c r="D232" s="204" t="str">
        <f t="shared" si="3"/>
        <v/>
      </c>
      <c r="E232" s="203" t="str">
        <f t="shared" si="4"/>
        <v/>
      </c>
      <c r="F232" s="228"/>
      <c r="G232" s="206"/>
      <c r="H232" s="242"/>
      <c r="I232" s="235"/>
      <c r="J232" s="208"/>
      <c r="K232" s="209"/>
      <c r="L232" s="210"/>
      <c r="M232" s="211"/>
      <c r="N232" s="217"/>
      <c r="P232" s="145"/>
      <c r="Q232" s="150"/>
      <c r="R232" s="150"/>
      <c r="S232" s="150"/>
      <c r="T232" s="150"/>
      <c r="U232" s="150"/>
      <c r="V232" s="150"/>
      <c r="W232" s="150"/>
      <c r="X232" s="150"/>
      <c r="Y232" s="150"/>
    </row>
    <row r="233" spans="2:25" ht="14.5" x14ac:dyDescent="0.35">
      <c r="B233" s="203">
        <f t="shared" si="5"/>
        <v>221</v>
      </c>
      <c r="C233" s="204">
        <f t="shared" si="2"/>
        <v>0</v>
      </c>
      <c r="D233" s="204" t="str">
        <f t="shared" si="3"/>
        <v/>
      </c>
      <c r="E233" s="203" t="str">
        <f t="shared" si="4"/>
        <v/>
      </c>
      <c r="F233" s="228"/>
      <c r="G233" s="206"/>
      <c r="H233" s="242"/>
      <c r="I233" s="235"/>
      <c r="J233" s="208"/>
      <c r="K233" s="209"/>
      <c r="L233" s="210"/>
      <c r="M233" s="211"/>
      <c r="N233" s="217"/>
      <c r="P233" s="145"/>
      <c r="Q233" s="150"/>
      <c r="R233" s="150"/>
      <c r="S233" s="150"/>
      <c r="T233" s="150"/>
      <c r="U233" s="150"/>
      <c r="V233" s="150"/>
      <c r="W233" s="150"/>
      <c r="X233" s="150"/>
      <c r="Y233" s="150"/>
    </row>
    <row r="234" spans="2:25" ht="14.5" x14ac:dyDescent="0.35">
      <c r="B234" s="203">
        <f t="shared" si="5"/>
        <v>222</v>
      </c>
      <c r="C234" s="204">
        <f t="shared" si="2"/>
        <v>0</v>
      </c>
      <c r="D234" s="204" t="str">
        <f t="shared" si="3"/>
        <v/>
      </c>
      <c r="E234" s="203" t="str">
        <f t="shared" si="4"/>
        <v/>
      </c>
      <c r="F234" s="228"/>
      <c r="G234" s="206"/>
      <c r="H234" s="242"/>
      <c r="I234" s="235"/>
      <c r="J234" s="208"/>
      <c r="K234" s="209"/>
      <c r="L234" s="210"/>
      <c r="M234" s="211"/>
      <c r="N234" s="217"/>
      <c r="P234" s="145"/>
      <c r="Q234" s="150"/>
      <c r="R234" s="150"/>
      <c r="S234" s="150"/>
      <c r="T234" s="150"/>
      <c r="U234" s="150"/>
      <c r="V234" s="150"/>
      <c r="W234" s="150"/>
      <c r="X234" s="150"/>
      <c r="Y234" s="150"/>
    </row>
    <row r="235" spans="2:25" ht="14.5" x14ac:dyDescent="0.35">
      <c r="B235" s="203">
        <f t="shared" si="5"/>
        <v>223</v>
      </c>
      <c r="C235" s="204">
        <f t="shared" si="2"/>
        <v>0</v>
      </c>
      <c r="D235" s="204" t="str">
        <f t="shared" si="3"/>
        <v/>
      </c>
      <c r="E235" s="203" t="str">
        <f t="shared" si="4"/>
        <v/>
      </c>
      <c r="F235" s="228"/>
      <c r="G235" s="206"/>
      <c r="H235" s="242"/>
      <c r="I235" s="247"/>
      <c r="J235" s="248"/>
      <c r="K235" s="249"/>
      <c r="L235" s="210"/>
      <c r="M235" s="217"/>
      <c r="N235" s="217"/>
      <c r="P235" s="145"/>
      <c r="Q235" s="150"/>
      <c r="R235" s="150"/>
      <c r="S235" s="150"/>
      <c r="T235" s="150"/>
      <c r="U235" s="150"/>
      <c r="V235" s="150"/>
      <c r="W235" s="150"/>
      <c r="X235" s="150"/>
      <c r="Y235" s="150"/>
    </row>
    <row r="236" spans="2:25" ht="14.5" x14ac:dyDescent="0.35">
      <c r="B236" s="203">
        <f t="shared" si="5"/>
        <v>224</v>
      </c>
      <c r="C236" s="204">
        <f t="shared" si="2"/>
        <v>0</v>
      </c>
      <c r="D236" s="204" t="str">
        <f t="shared" si="3"/>
        <v/>
      </c>
      <c r="E236" s="203" t="str">
        <f t="shared" si="4"/>
        <v/>
      </c>
      <c r="F236" s="228"/>
      <c r="G236" s="206"/>
      <c r="H236" s="242"/>
      <c r="I236" s="247"/>
      <c r="J236" s="248"/>
      <c r="K236" s="249"/>
      <c r="L236" s="210"/>
      <c r="M236" s="217"/>
      <c r="N236" s="217"/>
      <c r="P236" s="145"/>
      <c r="Q236" s="150"/>
      <c r="R236" s="150"/>
      <c r="S236" s="150"/>
      <c r="T236" s="150"/>
      <c r="U236" s="150"/>
      <c r="V236" s="150"/>
      <c r="W236" s="150"/>
      <c r="X236" s="150"/>
      <c r="Y236" s="150"/>
    </row>
    <row r="237" spans="2:25" ht="14.5" x14ac:dyDescent="0.35">
      <c r="B237" s="203">
        <f t="shared" si="5"/>
        <v>225</v>
      </c>
      <c r="C237" s="204">
        <f t="shared" si="2"/>
        <v>0</v>
      </c>
      <c r="D237" s="204" t="str">
        <f t="shared" si="3"/>
        <v/>
      </c>
      <c r="E237" s="203" t="str">
        <f t="shared" si="4"/>
        <v/>
      </c>
      <c r="F237" s="228"/>
      <c r="G237" s="206"/>
      <c r="H237" s="242"/>
      <c r="I237" s="247"/>
      <c r="J237" s="248"/>
      <c r="K237" s="249"/>
      <c r="L237" s="210"/>
      <c r="M237" s="217"/>
      <c r="N237" s="217"/>
      <c r="P237" s="145"/>
      <c r="Q237" s="150"/>
      <c r="R237" s="150"/>
      <c r="S237" s="150"/>
      <c r="T237" s="150"/>
      <c r="U237" s="150"/>
      <c r="V237" s="150"/>
      <c r="W237" s="150"/>
      <c r="X237" s="150"/>
      <c r="Y237" s="150"/>
    </row>
    <row r="238" spans="2:25" ht="14.5" x14ac:dyDescent="0.35">
      <c r="B238" s="203">
        <f t="shared" si="5"/>
        <v>226</v>
      </c>
      <c r="C238" s="204">
        <f t="shared" si="2"/>
        <v>0</v>
      </c>
      <c r="D238" s="204" t="str">
        <f t="shared" si="3"/>
        <v/>
      </c>
      <c r="E238" s="203" t="str">
        <f t="shared" si="4"/>
        <v/>
      </c>
      <c r="F238" s="228"/>
      <c r="G238" s="206"/>
      <c r="H238" s="242"/>
      <c r="I238" s="247"/>
      <c r="J238" s="248"/>
      <c r="K238" s="249"/>
      <c r="L238" s="210"/>
      <c r="M238" s="217"/>
      <c r="N238" s="217"/>
      <c r="P238" s="145"/>
      <c r="Q238" s="150"/>
      <c r="R238" s="150"/>
      <c r="S238" s="150"/>
      <c r="T238" s="150"/>
      <c r="U238" s="150"/>
      <c r="V238" s="150"/>
      <c r="W238" s="150"/>
      <c r="X238" s="150"/>
      <c r="Y238" s="150"/>
    </row>
    <row r="239" spans="2:25" ht="14.5" x14ac:dyDescent="0.35">
      <c r="B239" s="203">
        <f t="shared" si="5"/>
        <v>227</v>
      </c>
      <c r="C239" s="204">
        <f t="shared" si="2"/>
        <v>0</v>
      </c>
      <c r="D239" s="204" t="str">
        <f t="shared" si="3"/>
        <v/>
      </c>
      <c r="E239" s="203" t="str">
        <f t="shared" si="4"/>
        <v/>
      </c>
      <c r="F239" s="228"/>
      <c r="G239" s="206"/>
      <c r="H239" s="242"/>
      <c r="I239" s="247"/>
      <c r="J239" s="248"/>
      <c r="K239" s="249"/>
      <c r="L239" s="210"/>
      <c r="M239" s="217"/>
      <c r="N239" s="217"/>
      <c r="P239" s="145"/>
      <c r="Q239" s="150"/>
      <c r="R239" s="150"/>
      <c r="S239" s="150"/>
      <c r="T239" s="150"/>
      <c r="U239" s="150"/>
      <c r="V239" s="150"/>
      <c r="W239" s="150"/>
      <c r="X239" s="150"/>
      <c r="Y239" s="150"/>
    </row>
    <row r="240" spans="2:25" ht="14.5" x14ac:dyDescent="0.35">
      <c r="B240" s="203">
        <f t="shared" si="5"/>
        <v>228</v>
      </c>
      <c r="C240" s="204">
        <f t="shared" si="2"/>
        <v>0</v>
      </c>
      <c r="D240" s="204" t="str">
        <f t="shared" si="3"/>
        <v/>
      </c>
      <c r="E240" s="203" t="str">
        <f t="shared" si="4"/>
        <v/>
      </c>
      <c r="F240" s="228"/>
      <c r="G240" s="206"/>
      <c r="H240" s="242"/>
      <c r="I240" s="247"/>
      <c r="J240" s="248"/>
      <c r="K240" s="249"/>
      <c r="L240" s="210"/>
      <c r="M240" s="217"/>
      <c r="N240" s="217"/>
      <c r="P240" s="145"/>
      <c r="Q240" s="150"/>
      <c r="R240" s="150"/>
      <c r="S240" s="150"/>
      <c r="T240" s="150"/>
      <c r="U240" s="150"/>
      <c r="V240" s="150"/>
      <c r="W240" s="150"/>
      <c r="X240" s="150"/>
      <c r="Y240" s="150"/>
    </row>
    <row r="241" spans="2:25" ht="14.5" x14ac:dyDescent="0.35">
      <c r="B241" s="203">
        <f t="shared" si="5"/>
        <v>229</v>
      </c>
      <c r="C241" s="204">
        <f t="shared" si="2"/>
        <v>0</v>
      </c>
      <c r="D241" s="204" t="str">
        <f t="shared" si="3"/>
        <v/>
      </c>
      <c r="E241" s="203" t="str">
        <f t="shared" si="4"/>
        <v/>
      </c>
      <c r="F241" s="228"/>
      <c r="G241" s="206"/>
      <c r="H241" s="242"/>
      <c r="I241" s="247"/>
      <c r="J241" s="248"/>
      <c r="K241" s="249"/>
      <c r="L241" s="210"/>
      <c r="M241" s="217"/>
      <c r="N241" s="217"/>
      <c r="P241" s="145"/>
      <c r="Q241" s="150"/>
      <c r="R241" s="150"/>
      <c r="S241" s="150"/>
      <c r="T241" s="150"/>
      <c r="U241" s="150"/>
      <c r="V241" s="150"/>
      <c r="W241" s="150"/>
      <c r="X241" s="150"/>
      <c r="Y241" s="150"/>
    </row>
    <row r="242" spans="2:25" ht="14.5" x14ac:dyDescent="0.35">
      <c r="B242" s="203">
        <f t="shared" si="5"/>
        <v>230</v>
      </c>
      <c r="C242" s="204">
        <f t="shared" si="2"/>
        <v>0</v>
      </c>
      <c r="D242" s="204" t="str">
        <f t="shared" si="3"/>
        <v/>
      </c>
      <c r="E242" s="203" t="str">
        <f t="shared" si="4"/>
        <v/>
      </c>
      <c r="F242" s="228"/>
      <c r="G242" s="206"/>
      <c r="H242" s="242"/>
      <c r="I242" s="247"/>
      <c r="J242" s="248"/>
      <c r="K242" s="249"/>
      <c r="L242" s="210"/>
      <c r="M242" s="217"/>
      <c r="N242" s="217"/>
      <c r="P242" s="145"/>
      <c r="Q242" s="150"/>
      <c r="R242" s="150"/>
      <c r="S242" s="150"/>
      <c r="T242" s="150"/>
      <c r="U242" s="150"/>
      <c r="V242" s="150"/>
      <c r="W242" s="150"/>
      <c r="X242" s="150"/>
      <c r="Y242" s="150"/>
    </row>
    <row r="243" spans="2:25" ht="14.5" x14ac:dyDescent="0.35">
      <c r="B243" s="203">
        <f t="shared" si="5"/>
        <v>231</v>
      </c>
      <c r="C243" s="204">
        <f t="shared" si="2"/>
        <v>0</v>
      </c>
      <c r="D243" s="204" t="str">
        <f t="shared" si="3"/>
        <v/>
      </c>
      <c r="E243" s="203" t="str">
        <f t="shared" si="4"/>
        <v/>
      </c>
      <c r="F243" s="228"/>
      <c r="G243" s="206"/>
      <c r="H243" s="242"/>
      <c r="I243" s="247"/>
      <c r="J243" s="248"/>
      <c r="K243" s="249"/>
      <c r="L243" s="210"/>
      <c r="M243" s="217"/>
      <c r="N243" s="217"/>
      <c r="P243" s="145"/>
      <c r="Q243" s="150"/>
      <c r="R243" s="150"/>
      <c r="S243" s="150"/>
      <c r="T243" s="150"/>
      <c r="U243" s="150"/>
      <c r="V243" s="150"/>
      <c r="W243" s="150"/>
      <c r="X243" s="150"/>
      <c r="Y243" s="150"/>
    </row>
    <row r="244" spans="2:25" ht="14.5" x14ac:dyDescent="0.35">
      <c r="B244" s="203">
        <f t="shared" si="5"/>
        <v>232</v>
      </c>
      <c r="C244" s="204">
        <f t="shared" si="2"/>
        <v>0</v>
      </c>
      <c r="D244" s="204" t="str">
        <f t="shared" si="3"/>
        <v/>
      </c>
      <c r="E244" s="203" t="str">
        <f t="shared" si="4"/>
        <v/>
      </c>
      <c r="F244" s="228"/>
      <c r="G244" s="206"/>
      <c r="H244" s="242"/>
      <c r="I244" s="247"/>
      <c r="J244" s="248"/>
      <c r="K244" s="249"/>
      <c r="L244" s="210"/>
      <c r="M244" s="217"/>
      <c r="N244" s="217"/>
      <c r="P244" s="145"/>
      <c r="Q244" s="150"/>
      <c r="R244" s="150"/>
      <c r="S244" s="150"/>
      <c r="T244" s="150"/>
      <c r="U244" s="150"/>
      <c r="V244" s="150"/>
      <c r="W244" s="150"/>
      <c r="X244" s="150"/>
      <c r="Y244" s="150"/>
    </row>
    <row r="245" spans="2:25" ht="14.5" x14ac:dyDescent="0.35">
      <c r="B245" s="203">
        <f t="shared" si="5"/>
        <v>233</v>
      </c>
      <c r="C245" s="204">
        <f t="shared" si="2"/>
        <v>0</v>
      </c>
      <c r="D245" s="204" t="str">
        <f t="shared" si="3"/>
        <v/>
      </c>
      <c r="E245" s="203" t="str">
        <f t="shared" si="4"/>
        <v/>
      </c>
      <c r="F245" s="228"/>
      <c r="G245" s="206"/>
      <c r="H245" s="242"/>
      <c r="I245" s="247"/>
      <c r="J245" s="248"/>
      <c r="K245" s="249"/>
      <c r="L245" s="210"/>
      <c r="M245" s="217"/>
      <c r="N245" s="217"/>
      <c r="P245" s="145"/>
      <c r="Q245" s="150"/>
      <c r="R245" s="150"/>
      <c r="S245" s="150"/>
      <c r="T245" s="150"/>
      <c r="U245" s="150"/>
      <c r="V245" s="150"/>
      <c r="W245" s="150"/>
      <c r="X245" s="150"/>
      <c r="Y245" s="150"/>
    </row>
    <row r="246" spans="2:25" ht="14.5" x14ac:dyDescent="0.35">
      <c r="B246" s="203">
        <f t="shared" si="5"/>
        <v>234</v>
      </c>
      <c r="C246" s="204">
        <f t="shared" si="2"/>
        <v>0</v>
      </c>
      <c r="D246" s="204" t="str">
        <f t="shared" si="3"/>
        <v/>
      </c>
      <c r="E246" s="203" t="str">
        <f t="shared" si="4"/>
        <v/>
      </c>
      <c r="F246" s="228"/>
      <c r="G246" s="206"/>
      <c r="H246" s="242"/>
      <c r="I246" s="247"/>
      <c r="J246" s="248"/>
      <c r="K246" s="249"/>
      <c r="L246" s="210"/>
      <c r="M246" s="217"/>
      <c r="N246" s="217"/>
      <c r="P246" s="145"/>
      <c r="Q246" s="150"/>
      <c r="R246" s="150"/>
      <c r="S246" s="150"/>
      <c r="T246" s="150"/>
      <c r="U246" s="150"/>
      <c r="V246" s="150"/>
      <c r="W246" s="150"/>
      <c r="X246" s="150"/>
      <c r="Y246" s="150"/>
    </row>
    <row r="247" spans="2:25" ht="14.5" x14ac:dyDescent="0.35">
      <c r="B247" s="203">
        <f t="shared" si="5"/>
        <v>235</v>
      </c>
      <c r="C247" s="204">
        <f t="shared" si="2"/>
        <v>0</v>
      </c>
      <c r="D247" s="204" t="str">
        <f t="shared" si="3"/>
        <v/>
      </c>
      <c r="E247" s="203" t="str">
        <f t="shared" si="4"/>
        <v/>
      </c>
      <c r="F247" s="228"/>
      <c r="G247" s="206"/>
      <c r="H247" s="242"/>
      <c r="I247" s="247"/>
      <c r="J247" s="248"/>
      <c r="K247" s="249"/>
      <c r="L247" s="210"/>
      <c r="M247" s="217"/>
      <c r="N247" s="217"/>
      <c r="P247" s="145"/>
      <c r="Q247" s="150"/>
      <c r="R247" s="150"/>
      <c r="S247" s="150"/>
      <c r="T247" s="150"/>
      <c r="U247" s="150"/>
      <c r="V247" s="150"/>
      <c r="W247" s="150"/>
      <c r="X247" s="150"/>
      <c r="Y247" s="150"/>
    </row>
    <row r="248" spans="2:25" ht="14.5" x14ac:dyDescent="0.35">
      <c r="B248" s="203">
        <f t="shared" si="5"/>
        <v>236</v>
      </c>
      <c r="C248" s="204">
        <f t="shared" si="2"/>
        <v>0</v>
      </c>
      <c r="D248" s="204" t="str">
        <f t="shared" si="3"/>
        <v/>
      </c>
      <c r="E248" s="203" t="str">
        <f t="shared" si="4"/>
        <v/>
      </c>
      <c r="F248" s="228"/>
      <c r="G248" s="206"/>
      <c r="H248" s="242"/>
      <c r="I248" s="247"/>
      <c r="J248" s="248"/>
      <c r="K248" s="249"/>
      <c r="L248" s="210"/>
      <c r="M248" s="217"/>
      <c r="N248" s="217"/>
      <c r="P248" s="145"/>
      <c r="Q248" s="150"/>
      <c r="R248" s="150"/>
      <c r="S248" s="150"/>
      <c r="T248" s="150"/>
      <c r="U248" s="150"/>
      <c r="V248" s="150"/>
      <c r="W248" s="150"/>
      <c r="X248" s="150"/>
      <c r="Y248" s="150"/>
    </row>
    <row r="249" spans="2:25" ht="14.5" x14ac:dyDescent="0.35">
      <c r="B249" s="203">
        <f t="shared" si="5"/>
        <v>237</v>
      </c>
      <c r="C249" s="204">
        <f t="shared" si="2"/>
        <v>0</v>
      </c>
      <c r="D249" s="204" t="str">
        <f t="shared" si="3"/>
        <v/>
      </c>
      <c r="E249" s="203" t="str">
        <f t="shared" si="4"/>
        <v/>
      </c>
      <c r="F249" s="228"/>
      <c r="G249" s="206"/>
      <c r="H249" s="242"/>
      <c r="I249" s="247"/>
      <c r="J249" s="248"/>
      <c r="K249" s="249"/>
      <c r="L249" s="210"/>
      <c r="M249" s="217"/>
      <c r="N249" s="217"/>
      <c r="P249" s="145"/>
      <c r="Q249" s="150"/>
      <c r="R249" s="150"/>
      <c r="S249" s="150"/>
      <c r="T249" s="150"/>
      <c r="U249" s="150"/>
      <c r="V249" s="150"/>
      <c r="W249" s="150"/>
      <c r="X249" s="150"/>
      <c r="Y249" s="150"/>
    </row>
    <row r="250" spans="2:25" ht="14.5" x14ac:dyDescent="0.35">
      <c r="B250" s="203">
        <f t="shared" si="5"/>
        <v>238</v>
      </c>
      <c r="C250" s="204">
        <f t="shared" si="2"/>
        <v>0</v>
      </c>
      <c r="D250" s="204" t="str">
        <f t="shared" si="3"/>
        <v/>
      </c>
      <c r="E250" s="203" t="str">
        <f t="shared" si="4"/>
        <v/>
      </c>
      <c r="F250" s="228"/>
      <c r="G250" s="206"/>
      <c r="H250" s="242"/>
      <c r="I250" s="247"/>
      <c r="J250" s="248"/>
      <c r="K250" s="249"/>
      <c r="L250" s="210"/>
      <c r="M250" s="217"/>
      <c r="N250" s="217"/>
      <c r="P250" s="145"/>
      <c r="Q250" s="150"/>
      <c r="R250" s="150"/>
      <c r="S250" s="150"/>
      <c r="T250" s="150"/>
      <c r="U250" s="150"/>
      <c r="V250" s="150"/>
      <c r="W250" s="150"/>
      <c r="X250" s="150"/>
      <c r="Y250" s="150"/>
    </row>
    <row r="251" spans="2:25" ht="14.5" x14ac:dyDescent="0.35">
      <c r="B251" s="203">
        <f t="shared" si="5"/>
        <v>239</v>
      </c>
      <c r="C251" s="204">
        <f t="shared" si="2"/>
        <v>0</v>
      </c>
      <c r="D251" s="204" t="str">
        <f t="shared" si="3"/>
        <v/>
      </c>
      <c r="E251" s="203" t="str">
        <f t="shared" si="4"/>
        <v/>
      </c>
      <c r="F251" s="228"/>
      <c r="G251" s="206"/>
      <c r="H251" s="242"/>
      <c r="I251" s="247"/>
      <c r="J251" s="248"/>
      <c r="K251" s="249"/>
      <c r="L251" s="210"/>
      <c r="M251" s="217"/>
      <c r="N251" s="217"/>
      <c r="P251" s="145"/>
      <c r="Q251" s="150"/>
      <c r="R251" s="150"/>
      <c r="S251" s="150"/>
      <c r="T251" s="150"/>
      <c r="U251" s="150"/>
      <c r="V251" s="150"/>
      <c r="W251" s="150"/>
      <c r="X251" s="150"/>
      <c r="Y251" s="150"/>
    </row>
    <row r="252" spans="2:25" ht="14.5" x14ac:dyDescent="0.35">
      <c r="B252" s="203">
        <f t="shared" si="5"/>
        <v>240</v>
      </c>
      <c r="C252" s="204">
        <f t="shared" si="2"/>
        <v>0</v>
      </c>
      <c r="D252" s="204" t="str">
        <f t="shared" si="3"/>
        <v/>
      </c>
      <c r="E252" s="203" t="str">
        <f t="shared" si="4"/>
        <v/>
      </c>
      <c r="F252" s="228"/>
      <c r="G252" s="206"/>
      <c r="H252" s="242"/>
      <c r="I252" s="247"/>
      <c r="J252" s="248"/>
      <c r="K252" s="249"/>
      <c r="L252" s="210"/>
      <c r="M252" s="217"/>
      <c r="N252" s="217"/>
      <c r="P252" s="145"/>
      <c r="Q252" s="150"/>
      <c r="R252" s="150"/>
      <c r="S252" s="150"/>
      <c r="T252" s="150"/>
      <c r="U252" s="150"/>
      <c r="V252" s="150"/>
      <c r="W252" s="150"/>
      <c r="X252" s="150"/>
      <c r="Y252" s="150"/>
    </row>
    <row r="253" spans="2:25" ht="14.5" x14ac:dyDescent="0.35">
      <c r="B253" s="203">
        <f t="shared" si="5"/>
        <v>241</v>
      </c>
      <c r="C253" s="204">
        <f t="shared" si="2"/>
        <v>0</v>
      </c>
      <c r="D253" s="204" t="str">
        <f t="shared" si="3"/>
        <v/>
      </c>
      <c r="E253" s="203" t="str">
        <f t="shared" si="4"/>
        <v/>
      </c>
      <c r="F253" s="228"/>
      <c r="G253" s="206"/>
      <c r="H253" s="242"/>
      <c r="I253" s="247"/>
      <c r="J253" s="248"/>
      <c r="K253" s="249"/>
      <c r="L253" s="210"/>
      <c r="M253" s="217"/>
      <c r="N253" s="217"/>
      <c r="P253" s="145"/>
      <c r="Q253" s="150"/>
      <c r="R253" s="150"/>
      <c r="S253" s="150"/>
      <c r="T253" s="150"/>
      <c r="U253" s="150"/>
      <c r="V253" s="150"/>
      <c r="W253" s="150"/>
      <c r="X253" s="150"/>
      <c r="Y253" s="150"/>
    </row>
    <row r="254" spans="2:25" ht="14.5" x14ac:dyDescent="0.35">
      <c r="B254" s="203">
        <f t="shared" si="5"/>
        <v>242</v>
      </c>
      <c r="C254" s="204">
        <f t="shared" si="2"/>
        <v>0</v>
      </c>
      <c r="D254" s="204" t="str">
        <f t="shared" si="3"/>
        <v/>
      </c>
      <c r="E254" s="203" t="str">
        <f t="shared" si="4"/>
        <v/>
      </c>
      <c r="F254" s="228"/>
      <c r="G254" s="206"/>
      <c r="H254" s="242"/>
      <c r="I254" s="247"/>
      <c r="J254" s="248"/>
      <c r="K254" s="249"/>
      <c r="L254" s="210"/>
      <c r="M254" s="217"/>
      <c r="N254" s="217"/>
      <c r="P254" s="145"/>
      <c r="Q254" s="150"/>
      <c r="R254" s="150"/>
      <c r="S254" s="150"/>
      <c r="T254" s="150"/>
      <c r="U254" s="150"/>
      <c r="V254" s="150"/>
      <c r="W254" s="150"/>
      <c r="X254" s="150"/>
      <c r="Y254" s="150"/>
    </row>
    <row r="255" spans="2:25" ht="14.5" x14ac:dyDescent="0.35">
      <c r="B255" s="203">
        <f t="shared" si="5"/>
        <v>243</v>
      </c>
      <c r="C255" s="204">
        <f t="shared" si="2"/>
        <v>0</v>
      </c>
      <c r="D255" s="204" t="str">
        <f t="shared" si="3"/>
        <v/>
      </c>
      <c r="E255" s="203" t="str">
        <f t="shared" si="4"/>
        <v/>
      </c>
      <c r="F255" s="228"/>
      <c r="G255" s="206"/>
      <c r="H255" s="242"/>
      <c r="I255" s="247"/>
      <c r="J255" s="248"/>
      <c r="K255" s="249"/>
      <c r="L255" s="210"/>
      <c r="M255" s="217"/>
      <c r="N255" s="217"/>
      <c r="P255" s="145"/>
      <c r="Q255" s="150"/>
      <c r="R255" s="150"/>
      <c r="S255" s="150"/>
      <c r="T255" s="150"/>
      <c r="U255" s="150"/>
      <c r="V255" s="150"/>
      <c r="W255" s="150"/>
      <c r="X255" s="150"/>
      <c r="Y255" s="150"/>
    </row>
    <row r="256" spans="2:25" ht="14.5" x14ac:dyDescent="0.35">
      <c r="B256" s="203">
        <f t="shared" si="5"/>
        <v>244</v>
      </c>
      <c r="C256" s="204">
        <f t="shared" si="2"/>
        <v>0</v>
      </c>
      <c r="D256" s="204" t="str">
        <f t="shared" si="3"/>
        <v/>
      </c>
      <c r="E256" s="203" t="str">
        <f t="shared" si="4"/>
        <v/>
      </c>
      <c r="F256" s="228"/>
      <c r="G256" s="206"/>
      <c r="H256" s="242"/>
      <c r="I256" s="247"/>
      <c r="J256" s="248"/>
      <c r="K256" s="249"/>
      <c r="L256" s="210"/>
      <c r="M256" s="217"/>
      <c r="N256" s="217"/>
      <c r="P256" s="145"/>
      <c r="Q256" s="150"/>
      <c r="R256" s="150"/>
      <c r="S256" s="150"/>
      <c r="T256" s="150"/>
      <c r="U256" s="150"/>
      <c r="V256" s="150"/>
      <c r="W256" s="150"/>
      <c r="X256" s="150"/>
      <c r="Y256" s="150"/>
    </row>
    <row r="257" spans="2:25" ht="14.5" x14ac:dyDescent="0.35">
      <c r="B257" s="203">
        <f t="shared" si="5"/>
        <v>245</v>
      </c>
      <c r="C257" s="204">
        <f t="shared" si="2"/>
        <v>0</v>
      </c>
      <c r="D257" s="204" t="str">
        <f t="shared" si="3"/>
        <v/>
      </c>
      <c r="E257" s="203" t="str">
        <f t="shared" si="4"/>
        <v/>
      </c>
      <c r="F257" s="228"/>
      <c r="G257" s="206"/>
      <c r="H257" s="242"/>
      <c r="I257" s="247"/>
      <c r="J257" s="248"/>
      <c r="K257" s="249"/>
      <c r="L257" s="210"/>
      <c r="M257" s="217"/>
      <c r="N257" s="217"/>
      <c r="P257" s="145"/>
      <c r="Q257" s="150"/>
      <c r="R257" s="150"/>
      <c r="S257" s="150"/>
      <c r="T257" s="150"/>
      <c r="U257" s="150"/>
      <c r="V257" s="150"/>
      <c r="W257" s="150"/>
      <c r="X257" s="150"/>
      <c r="Y257" s="150"/>
    </row>
    <row r="258" spans="2:25" ht="14.5" x14ac:dyDescent="0.35">
      <c r="B258" s="203">
        <f t="shared" si="5"/>
        <v>246</v>
      </c>
      <c r="C258" s="204">
        <f t="shared" si="2"/>
        <v>0</v>
      </c>
      <c r="D258" s="204" t="str">
        <f t="shared" si="3"/>
        <v/>
      </c>
      <c r="E258" s="203" t="str">
        <f t="shared" si="4"/>
        <v/>
      </c>
      <c r="F258" s="228"/>
      <c r="G258" s="206"/>
      <c r="H258" s="242"/>
      <c r="I258" s="247"/>
      <c r="J258" s="248"/>
      <c r="K258" s="249"/>
      <c r="L258" s="210"/>
      <c r="M258" s="217"/>
      <c r="N258" s="217"/>
      <c r="P258" s="145"/>
      <c r="Q258" s="150"/>
      <c r="R258" s="150"/>
      <c r="S258" s="150"/>
      <c r="T258" s="150"/>
      <c r="U258" s="150"/>
      <c r="V258" s="150"/>
      <c r="W258" s="150"/>
      <c r="X258" s="150"/>
      <c r="Y258" s="150"/>
    </row>
    <row r="259" spans="2:25" ht="14.5" x14ac:dyDescent="0.35">
      <c r="B259" s="203">
        <f t="shared" si="5"/>
        <v>247</v>
      </c>
      <c r="C259" s="204">
        <f t="shared" si="2"/>
        <v>0</v>
      </c>
      <c r="D259" s="204" t="str">
        <f t="shared" si="3"/>
        <v/>
      </c>
      <c r="E259" s="203" t="str">
        <f t="shared" si="4"/>
        <v/>
      </c>
      <c r="F259" s="228"/>
      <c r="G259" s="206"/>
      <c r="H259" s="242"/>
      <c r="I259" s="247"/>
      <c r="J259" s="248"/>
      <c r="K259" s="249"/>
      <c r="L259" s="210"/>
      <c r="M259" s="217"/>
      <c r="N259" s="217"/>
      <c r="P259" s="145"/>
      <c r="Q259" s="150"/>
      <c r="R259" s="150"/>
      <c r="S259" s="150"/>
      <c r="T259" s="150"/>
      <c r="U259" s="150"/>
      <c r="V259" s="150"/>
      <c r="W259" s="150"/>
      <c r="X259" s="150"/>
      <c r="Y259" s="150"/>
    </row>
    <row r="260" spans="2:25" ht="14.5" x14ac:dyDescent="0.35">
      <c r="B260" s="203">
        <f t="shared" si="5"/>
        <v>248</v>
      </c>
      <c r="C260" s="204">
        <f t="shared" si="2"/>
        <v>0</v>
      </c>
      <c r="D260" s="204" t="str">
        <f t="shared" si="3"/>
        <v/>
      </c>
      <c r="E260" s="203" t="str">
        <f t="shared" si="4"/>
        <v/>
      </c>
      <c r="F260" s="228"/>
      <c r="G260" s="206"/>
      <c r="H260" s="242"/>
      <c r="I260" s="247"/>
      <c r="J260" s="248"/>
      <c r="K260" s="249"/>
      <c r="L260" s="210"/>
      <c r="M260" s="217"/>
      <c r="N260" s="217"/>
      <c r="P260" s="145"/>
      <c r="Q260" s="150"/>
      <c r="R260" s="150"/>
      <c r="S260" s="150"/>
      <c r="T260" s="150"/>
      <c r="U260" s="150"/>
      <c r="V260" s="150"/>
      <c r="W260" s="150"/>
      <c r="X260" s="150"/>
      <c r="Y260" s="150"/>
    </row>
    <row r="261" spans="2:25" ht="14.5" x14ac:dyDescent="0.35">
      <c r="B261" s="203">
        <f t="shared" si="5"/>
        <v>249</v>
      </c>
      <c r="C261" s="204">
        <f t="shared" si="2"/>
        <v>0</v>
      </c>
      <c r="D261" s="204" t="str">
        <f t="shared" si="3"/>
        <v/>
      </c>
      <c r="E261" s="203" t="str">
        <f t="shared" si="4"/>
        <v/>
      </c>
      <c r="F261" s="228"/>
      <c r="G261" s="206"/>
      <c r="H261" s="242"/>
      <c r="I261" s="247"/>
      <c r="J261" s="248"/>
      <c r="K261" s="249"/>
      <c r="L261" s="210"/>
      <c r="M261" s="217"/>
      <c r="N261" s="217"/>
      <c r="P261" s="145"/>
      <c r="Q261" s="150"/>
      <c r="R261" s="150"/>
      <c r="S261" s="150"/>
      <c r="T261" s="150"/>
      <c r="U261" s="150"/>
      <c r="V261" s="150"/>
      <c r="W261" s="150"/>
      <c r="X261" s="150"/>
      <c r="Y261" s="150"/>
    </row>
    <row r="262" spans="2:25" ht="14.5" x14ac:dyDescent="0.35">
      <c r="B262" s="203">
        <f t="shared" si="5"/>
        <v>250</v>
      </c>
      <c r="C262" s="204">
        <f t="shared" si="2"/>
        <v>0</v>
      </c>
      <c r="D262" s="204" t="str">
        <f t="shared" si="3"/>
        <v/>
      </c>
      <c r="E262" s="203" t="str">
        <f t="shared" si="4"/>
        <v/>
      </c>
      <c r="F262" s="228"/>
      <c r="G262" s="206"/>
      <c r="H262" s="242"/>
      <c r="I262" s="247"/>
      <c r="J262" s="248"/>
      <c r="K262" s="249"/>
      <c r="L262" s="210"/>
      <c r="M262" s="217"/>
      <c r="N262" s="217"/>
      <c r="P262" s="145"/>
      <c r="Q262" s="150"/>
      <c r="R262" s="150"/>
      <c r="S262" s="150"/>
      <c r="T262" s="150"/>
      <c r="U262" s="150"/>
      <c r="V262" s="150"/>
      <c r="W262" s="150"/>
      <c r="X262" s="150"/>
      <c r="Y262" s="150"/>
    </row>
    <row r="263" spans="2:25" ht="14.5" x14ac:dyDescent="0.35">
      <c r="B263" s="203">
        <f t="shared" si="5"/>
        <v>251</v>
      </c>
      <c r="C263" s="204">
        <f t="shared" si="2"/>
        <v>0</v>
      </c>
      <c r="D263" s="204" t="str">
        <f t="shared" si="3"/>
        <v/>
      </c>
      <c r="E263" s="203" t="str">
        <f t="shared" si="4"/>
        <v/>
      </c>
      <c r="F263" s="228"/>
      <c r="G263" s="206"/>
      <c r="H263" s="242"/>
      <c r="I263" s="247"/>
      <c r="J263" s="248"/>
      <c r="K263" s="249"/>
      <c r="L263" s="210"/>
      <c r="M263" s="217"/>
      <c r="N263" s="217"/>
      <c r="P263" s="145"/>
      <c r="Q263" s="150"/>
      <c r="R263" s="150"/>
      <c r="S263" s="150"/>
      <c r="T263" s="150"/>
      <c r="U263" s="150"/>
      <c r="V263" s="150"/>
      <c r="W263" s="150"/>
      <c r="X263" s="150"/>
      <c r="Y263" s="150"/>
    </row>
    <row r="264" spans="2:25" ht="14.5" x14ac:dyDescent="0.35">
      <c r="B264" s="203">
        <f t="shared" si="5"/>
        <v>252</v>
      </c>
      <c r="C264" s="204">
        <f t="shared" si="2"/>
        <v>0</v>
      </c>
      <c r="D264" s="204" t="str">
        <f t="shared" si="3"/>
        <v/>
      </c>
      <c r="E264" s="203" t="str">
        <f t="shared" si="4"/>
        <v/>
      </c>
      <c r="F264" s="228"/>
      <c r="G264" s="206"/>
      <c r="H264" s="242"/>
      <c r="I264" s="247"/>
      <c r="J264" s="248"/>
      <c r="K264" s="249"/>
      <c r="L264" s="210"/>
      <c r="M264" s="217"/>
      <c r="N264" s="217"/>
      <c r="P264" s="145"/>
      <c r="Q264" s="150"/>
      <c r="R264" s="150"/>
      <c r="S264" s="150"/>
      <c r="T264" s="150"/>
      <c r="U264" s="150"/>
      <c r="V264" s="150"/>
      <c r="W264" s="150"/>
      <c r="X264" s="150"/>
      <c r="Y264" s="150"/>
    </row>
    <row r="265" spans="2:25" ht="14.5" x14ac:dyDescent="0.35">
      <c r="B265" s="203">
        <f t="shared" si="5"/>
        <v>253</v>
      </c>
      <c r="C265" s="204">
        <f t="shared" si="2"/>
        <v>0</v>
      </c>
      <c r="D265" s="204" t="str">
        <f t="shared" si="3"/>
        <v/>
      </c>
      <c r="E265" s="203" t="str">
        <f t="shared" si="4"/>
        <v/>
      </c>
      <c r="F265" s="228"/>
      <c r="G265" s="206"/>
      <c r="H265" s="242"/>
      <c r="I265" s="247"/>
      <c r="J265" s="248"/>
      <c r="K265" s="249"/>
      <c r="L265" s="210"/>
      <c r="M265" s="217"/>
      <c r="N265" s="217"/>
      <c r="P265" s="145"/>
      <c r="Q265" s="150"/>
      <c r="R265" s="150"/>
      <c r="S265" s="150"/>
      <c r="T265" s="150"/>
      <c r="U265" s="150"/>
      <c r="V265" s="150"/>
      <c r="W265" s="150"/>
      <c r="X265" s="150"/>
      <c r="Y265" s="150"/>
    </row>
    <row r="266" spans="2:25" ht="14.5" x14ac:dyDescent="0.35">
      <c r="B266" s="203">
        <f t="shared" si="5"/>
        <v>254</v>
      </c>
      <c r="C266" s="204">
        <f t="shared" si="2"/>
        <v>0</v>
      </c>
      <c r="D266" s="204" t="str">
        <f t="shared" si="3"/>
        <v/>
      </c>
      <c r="E266" s="203" t="str">
        <f t="shared" si="4"/>
        <v/>
      </c>
      <c r="F266" s="228"/>
      <c r="G266" s="206"/>
      <c r="H266" s="242"/>
      <c r="I266" s="247"/>
      <c r="J266" s="248"/>
      <c r="K266" s="249"/>
      <c r="L266" s="210"/>
      <c r="M266" s="217"/>
      <c r="N266" s="217"/>
      <c r="P266" s="145"/>
      <c r="Q266" s="150"/>
      <c r="R266" s="150"/>
      <c r="S266" s="150"/>
      <c r="T266" s="150"/>
      <c r="U266" s="150"/>
      <c r="V266" s="150"/>
      <c r="W266" s="150"/>
      <c r="X266" s="150"/>
      <c r="Y266" s="150"/>
    </row>
    <row r="267" spans="2:25" ht="14.5" x14ac:dyDescent="0.35">
      <c r="B267" s="203">
        <f t="shared" si="5"/>
        <v>255</v>
      </c>
      <c r="C267" s="204">
        <f t="shared" si="2"/>
        <v>0</v>
      </c>
      <c r="D267" s="204" t="str">
        <f t="shared" si="3"/>
        <v/>
      </c>
      <c r="E267" s="203" t="str">
        <f t="shared" si="4"/>
        <v/>
      </c>
      <c r="F267" s="228"/>
      <c r="G267" s="206"/>
      <c r="H267" s="242"/>
      <c r="I267" s="247"/>
      <c r="J267" s="248"/>
      <c r="K267" s="249"/>
      <c r="L267" s="210"/>
      <c r="M267" s="217"/>
      <c r="N267" s="217"/>
      <c r="P267" s="145"/>
      <c r="Q267" s="150"/>
      <c r="R267" s="150"/>
      <c r="S267" s="150"/>
      <c r="T267" s="150"/>
      <c r="U267" s="150"/>
      <c r="V267" s="150"/>
      <c r="W267" s="150"/>
      <c r="X267" s="150"/>
      <c r="Y267" s="150"/>
    </row>
    <row r="268" spans="2:25" ht="14.5" x14ac:dyDescent="0.35">
      <c r="B268" s="203">
        <f t="shared" si="5"/>
        <v>256</v>
      </c>
      <c r="C268" s="204">
        <f t="shared" si="2"/>
        <v>0</v>
      </c>
      <c r="D268" s="204" t="str">
        <f t="shared" si="3"/>
        <v/>
      </c>
      <c r="E268" s="203" t="str">
        <f t="shared" si="4"/>
        <v/>
      </c>
      <c r="F268" s="228"/>
      <c r="G268" s="206"/>
      <c r="H268" s="242"/>
      <c r="I268" s="247"/>
      <c r="J268" s="248"/>
      <c r="K268" s="249"/>
      <c r="L268" s="210"/>
      <c r="M268" s="217"/>
      <c r="N268" s="217"/>
      <c r="P268" s="145"/>
      <c r="Q268" s="150"/>
      <c r="R268" s="150"/>
      <c r="S268" s="150"/>
      <c r="T268" s="150"/>
      <c r="U268" s="150"/>
      <c r="V268" s="150"/>
      <c r="W268" s="150"/>
      <c r="X268" s="150"/>
      <c r="Y268" s="150"/>
    </row>
    <row r="269" spans="2:25" ht="14.5" x14ac:dyDescent="0.35">
      <c r="B269" s="203">
        <f t="shared" si="5"/>
        <v>257</v>
      </c>
      <c r="C269" s="204">
        <f t="shared" ref="C269:C332" si="6">IFERROR(DAY(F269),0)</f>
        <v>0</v>
      </c>
      <c r="D269" s="204" t="str">
        <f t="shared" ref="D269:D332" si="7">IFERROR(IF(F269="","",TEXT(DATE(0,MONTH(F269),1),"MMM")),"date issue")</f>
        <v/>
      </c>
      <c r="E269" s="203" t="str">
        <f t="shared" ref="E269:E332" si="8">IFERROR(IF(OR(C269=1,C269=2,C269=3,C269=4,C269=5,C269=6,C269=7),1,IF(OR(C269=8,C269=9,C269=10,C269=11,C269=12,C269=13,C269=14),2,IF(OR(C269=15,C269=16,C269=17,C269=18,C269=19,C269=20,C269=21),3,IF(OR(C269=22,C269=23,C269=24,C269=25,C269=26,C269=27,C269=28),4,IF(OR(C269=29,C269=30,C269=31),5,""))))),0)</f>
        <v/>
      </c>
      <c r="F269" s="228"/>
      <c r="G269" s="206"/>
      <c r="H269" s="242"/>
      <c r="I269" s="247"/>
      <c r="J269" s="248"/>
      <c r="K269" s="249"/>
      <c r="L269" s="210"/>
      <c r="M269" s="217"/>
      <c r="N269" s="250"/>
      <c r="O269" s="251"/>
      <c r="P269" s="145"/>
      <c r="Q269" s="150"/>
      <c r="R269" s="150"/>
      <c r="S269" s="150"/>
      <c r="T269" s="150"/>
      <c r="U269" s="150"/>
      <c r="V269" s="150"/>
      <c r="W269" s="150"/>
      <c r="X269" s="150"/>
      <c r="Y269" s="150"/>
    </row>
    <row r="270" spans="2:25" ht="14.5" x14ac:dyDescent="0.35">
      <c r="B270" s="203">
        <f t="shared" si="5"/>
        <v>258</v>
      </c>
      <c r="C270" s="204">
        <f t="shared" si="6"/>
        <v>0</v>
      </c>
      <c r="D270" s="204" t="str">
        <f t="shared" si="7"/>
        <v/>
      </c>
      <c r="E270" s="203" t="str">
        <f t="shared" si="8"/>
        <v/>
      </c>
      <c r="F270" s="228"/>
      <c r="G270" s="206"/>
      <c r="H270" s="242"/>
      <c r="I270" s="247"/>
      <c r="J270" s="248"/>
      <c r="K270" s="249"/>
      <c r="L270" s="210"/>
      <c r="M270" s="217"/>
      <c r="N270" s="250"/>
      <c r="O270" s="251"/>
      <c r="P270" s="145"/>
      <c r="Q270" s="150"/>
      <c r="R270" s="150"/>
      <c r="S270" s="150"/>
      <c r="T270" s="150"/>
      <c r="U270" s="150"/>
      <c r="V270" s="150"/>
      <c r="W270" s="150"/>
      <c r="X270" s="150"/>
      <c r="Y270" s="150"/>
    </row>
    <row r="271" spans="2:25" ht="14.5" x14ac:dyDescent="0.35">
      <c r="B271" s="203">
        <f t="shared" si="5"/>
        <v>259</v>
      </c>
      <c r="C271" s="204">
        <f t="shared" si="6"/>
        <v>0</v>
      </c>
      <c r="D271" s="204" t="str">
        <f t="shared" si="7"/>
        <v/>
      </c>
      <c r="E271" s="203" t="str">
        <f t="shared" si="8"/>
        <v/>
      </c>
      <c r="F271" s="228"/>
      <c r="G271" s="206"/>
      <c r="H271" s="242"/>
      <c r="I271" s="247"/>
      <c r="J271" s="248"/>
      <c r="K271" s="249"/>
      <c r="L271" s="210"/>
      <c r="M271" s="217"/>
      <c r="N271" s="250"/>
      <c r="O271" s="251"/>
      <c r="P271" s="145"/>
      <c r="Q271" s="150"/>
      <c r="R271" s="150"/>
      <c r="S271" s="150"/>
      <c r="T271" s="150"/>
      <c r="U271" s="150"/>
      <c r="V271" s="150"/>
      <c r="W271" s="150"/>
      <c r="X271" s="150"/>
      <c r="Y271" s="150"/>
    </row>
    <row r="272" spans="2:25" ht="14.5" x14ac:dyDescent="0.35">
      <c r="B272" s="203">
        <f t="shared" si="5"/>
        <v>260</v>
      </c>
      <c r="C272" s="204">
        <f t="shared" si="6"/>
        <v>0</v>
      </c>
      <c r="D272" s="204" t="str">
        <f t="shared" si="7"/>
        <v/>
      </c>
      <c r="E272" s="203" t="str">
        <f t="shared" si="8"/>
        <v/>
      </c>
      <c r="F272" s="228"/>
      <c r="G272" s="206"/>
      <c r="H272" s="242"/>
      <c r="I272" s="247"/>
      <c r="J272" s="248"/>
      <c r="K272" s="249"/>
      <c r="L272" s="210"/>
      <c r="M272" s="217"/>
      <c r="N272" s="250"/>
      <c r="O272" s="251"/>
      <c r="P272" s="145"/>
      <c r="Q272" s="150"/>
      <c r="R272" s="150"/>
      <c r="S272" s="150"/>
      <c r="T272" s="150"/>
      <c r="U272" s="150"/>
      <c r="V272" s="150"/>
      <c r="W272" s="150"/>
      <c r="X272" s="150"/>
      <c r="Y272" s="150"/>
    </row>
    <row r="273" spans="2:25" ht="14.5" x14ac:dyDescent="0.35">
      <c r="B273" s="203">
        <f t="shared" si="5"/>
        <v>261</v>
      </c>
      <c r="C273" s="204">
        <f t="shared" si="6"/>
        <v>0</v>
      </c>
      <c r="D273" s="204" t="str">
        <f t="shared" si="7"/>
        <v/>
      </c>
      <c r="E273" s="203" t="str">
        <f t="shared" si="8"/>
        <v/>
      </c>
      <c r="F273" s="228"/>
      <c r="G273" s="206"/>
      <c r="H273" s="242"/>
      <c r="I273" s="247"/>
      <c r="J273" s="248"/>
      <c r="K273" s="249"/>
      <c r="L273" s="210"/>
      <c r="M273" s="217"/>
      <c r="N273" s="250"/>
      <c r="O273" s="251"/>
      <c r="P273" s="145"/>
      <c r="Q273" s="150"/>
      <c r="R273" s="150"/>
      <c r="S273" s="150"/>
      <c r="T273" s="150"/>
      <c r="U273" s="150"/>
      <c r="V273" s="150"/>
      <c r="W273" s="150"/>
      <c r="X273" s="150"/>
      <c r="Y273" s="150"/>
    </row>
    <row r="274" spans="2:25" ht="14.5" x14ac:dyDescent="0.35">
      <c r="B274" s="203">
        <f t="shared" si="5"/>
        <v>262</v>
      </c>
      <c r="C274" s="204">
        <f t="shared" si="6"/>
        <v>0</v>
      </c>
      <c r="D274" s="204" t="str">
        <f t="shared" si="7"/>
        <v/>
      </c>
      <c r="E274" s="203" t="str">
        <f t="shared" si="8"/>
        <v/>
      </c>
      <c r="F274" s="228"/>
      <c r="G274" s="206"/>
      <c r="H274" s="242"/>
      <c r="I274" s="247"/>
      <c r="J274" s="248"/>
      <c r="K274" s="249"/>
      <c r="L274" s="210"/>
      <c r="M274" s="217"/>
      <c r="N274" s="250"/>
      <c r="O274" s="251"/>
      <c r="P274" s="145"/>
      <c r="Q274" s="150"/>
      <c r="R274" s="150"/>
      <c r="S274" s="150"/>
      <c r="T274" s="150"/>
      <c r="U274" s="150"/>
      <c r="V274" s="150"/>
      <c r="W274" s="150"/>
      <c r="X274" s="150"/>
      <c r="Y274" s="150"/>
    </row>
    <row r="275" spans="2:25" ht="14.5" x14ac:dyDescent="0.35">
      <c r="B275" s="203">
        <f t="shared" si="5"/>
        <v>263</v>
      </c>
      <c r="C275" s="204">
        <f t="shared" si="6"/>
        <v>0</v>
      </c>
      <c r="D275" s="204" t="str">
        <f t="shared" si="7"/>
        <v/>
      </c>
      <c r="E275" s="203" t="str">
        <f t="shared" si="8"/>
        <v/>
      </c>
      <c r="F275" s="228"/>
      <c r="G275" s="206"/>
      <c r="H275" s="242"/>
      <c r="I275" s="247"/>
      <c r="J275" s="248"/>
      <c r="K275" s="249"/>
      <c r="L275" s="210"/>
      <c r="M275" s="217"/>
      <c r="N275" s="250"/>
      <c r="O275" s="251"/>
      <c r="P275" s="145"/>
      <c r="Q275" s="150"/>
      <c r="R275" s="150"/>
      <c r="S275" s="150"/>
      <c r="T275" s="150"/>
      <c r="U275" s="150"/>
      <c r="V275" s="150"/>
      <c r="W275" s="150"/>
      <c r="X275" s="150"/>
      <c r="Y275" s="150"/>
    </row>
    <row r="276" spans="2:25" ht="14.5" x14ac:dyDescent="0.35">
      <c r="B276" s="203">
        <f t="shared" si="5"/>
        <v>264</v>
      </c>
      <c r="C276" s="204">
        <f t="shared" si="6"/>
        <v>0</v>
      </c>
      <c r="D276" s="204" t="str">
        <f t="shared" si="7"/>
        <v/>
      </c>
      <c r="E276" s="203" t="str">
        <f t="shared" si="8"/>
        <v/>
      </c>
      <c r="F276" s="228"/>
      <c r="G276" s="206"/>
      <c r="H276" s="242"/>
      <c r="I276" s="247"/>
      <c r="J276" s="248"/>
      <c r="K276" s="249"/>
      <c r="L276" s="210"/>
      <c r="M276" s="217"/>
      <c r="N276" s="250"/>
      <c r="O276" s="251"/>
      <c r="P276" s="145"/>
      <c r="Q276" s="150"/>
      <c r="R276" s="150"/>
      <c r="S276" s="150"/>
      <c r="T276" s="150"/>
      <c r="U276" s="150"/>
      <c r="V276" s="150"/>
      <c r="W276" s="150"/>
      <c r="X276" s="150"/>
      <c r="Y276" s="150"/>
    </row>
    <row r="277" spans="2:25" ht="14.5" x14ac:dyDescent="0.35">
      <c r="B277" s="203">
        <f t="shared" si="5"/>
        <v>265</v>
      </c>
      <c r="C277" s="204">
        <f t="shared" si="6"/>
        <v>0</v>
      </c>
      <c r="D277" s="204" t="str">
        <f t="shared" si="7"/>
        <v/>
      </c>
      <c r="E277" s="203" t="str">
        <f t="shared" si="8"/>
        <v/>
      </c>
      <c r="F277" s="228"/>
      <c r="G277" s="206"/>
      <c r="H277" s="242"/>
      <c r="I277" s="247"/>
      <c r="J277" s="248"/>
      <c r="K277" s="249"/>
      <c r="L277" s="210"/>
      <c r="M277" s="217"/>
      <c r="N277" s="250"/>
      <c r="O277" s="251"/>
      <c r="P277" s="145"/>
      <c r="Q277" s="150"/>
      <c r="R277" s="150"/>
      <c r="S277" s="150"/>
      <c r="T277" s="150"/>
      <c r="U277" s="150"/>
      <c r="V277" s="150"/>
      <c r="W277" s="150"/>
      <c r="X277" s="150"/>
      <c r="Y277" s="150"/>
    </row>
    <row r="278" spans="2:25" ht="14.5" x14ac:dyDescent="0.35">
      <c r="B278" s="203">
        <f t="shared" si="5"/>
        <v>266</v>
      </c>
      <c r="C278" s="204">
        <f t="shared" si="6"/>
        <v>0</v>
      </c>
      <c r="D278" s="204" t="str">
        <f t="shared" si="7"/>
        <v/>
      </c>
      <c r="E278" s="203" t="str">
        <f t="shared" si="8"/>
        <v/>
      </c>
      <c r="F278" s="228"/>
      <c r="G278" s="206"/>
      <c r="H278" s="242"/>
      <c r="I278" s="247"/>
      <c r="J278" s="248"/>
      <c r="K278" s="249"/>
      <c r="L278" s="210"/>
      <c r="M278" s="217"/>
      <c r="N278" s="250"/>
      <c r="O278" s="251"/>
      <c r="P278" s="145"/>
      <c r="Q278" s="150"/>
      <c r="R278" s="150"/>
      <c r="S278" s="150"/>
      <c r="T278" s="150"/>
      <c r="U278" s="150"/>
      <c r="V278" s="150"/>
      <c r="W278" s="150"/>
      <c r="X278" s="150"/>
      <c r="Y278" s="150"/>
    </row>
    <row r="279" spans="2:25" ht="14.5" x14ac:dyDescent="0.35">
      <c r="B279" s="203">
        <f t="shared" ref="B279:B342" si="9">B278+1</f>
        <v>267</v>
      </c>
      <c r="C279" s="204">
        <f t="shared" si="6"/>
        <v>0</v>
      </c>
      <c r="D279" s="204" t="str">
        <f t="shared" si="7"/>
        <v/>
      </c>
      <c r="E279" s="203" t="str">
        <f t="shared" si="8"/>
        <v/>
      </c>
      <c r="F279" s="228"/>
      <c r="G279" s="206"/>
      <c r="H279" s="242"/>
      <c r="I279" s="247"/>
      <c r="J279" s="248"/>
      <c r="K279" s="249"/>
      <c r="L279" s="210"/>
      <c r="M279" s="217"/>
      <c r="N279" s="250"/>
      <c r="O279" s="251"/>
      <c r="P279" s="145"/>
      <c r="Q279" s="150"/>
      <c r="R279" s="150"/>
      <c r="S279" s="150"/>
      <c r="T279" s="150"/>
      <c r="U279" s="150"/>
      <c r="V279" s="150"/>
      <c r="W279" s="150"/>
      <c r="X279" s="150"/>
      <c r="Y279" s="150"/>
    </row>
    <row r="280" spans="2:25" ht="14.5" x14ac:dyDescent="0.35">
      <c r="B280" s="203">
        <f t="shared" si="9"/>
        <v>268</v>
      </c>
      <c r="C280" s="204">
        <f t="shared" si="6"/>
        <v>0</v>
      </c>
      <c r="D280" s="204" t="str">
        <f t="shared" si="7"/>
        <v/>
      </c>
      <c r="E280" s="203" t="str">
        <f t="shared" si="8"/>
        <v/>
      </c>
      <c r="F280" s="228"/>
      <c r="G280" s="206"/>
      <c r="H280" s="242"/>
      <c r="I280" s="247"/>
      <c r="J280" s="248"/>
      <c r="K280" s="249"/>
      <c r="L280" s="210"/>
      <c r="M280" s="217"/>
      <c r="N280" s="250"/>
      <c r="O280" s="251"/>
      <c r="P280" s="145"/>
      <c r="Q280" s="150"/>
      <c r="R280" s="150"/>
      <c r="S280" s="150"/>
      <c r="T280" s="150"/>
      <c r="U280" s="150"/>
      <c r="V280" s="150"/>
      <c r="W280" s="150"/>
      <c r="X280" s="150"/>
      <c r="Y280" s="150"/>
    </row>
    <row r="281" spans="2:25" ht="14.5" x14ac:dyDescent="0.35">
      <c r="B281" s="203">
        <f t="shared" si="9"/>
        <v>269</v>
      </c>
      <c r="C281" s="204">
        <f t="shared" si="6"/>
        <v>0</v>
      </c>
      <c r="D281" s="204" t="str">
        <f t="shared" si="7"/>
        <v/>
      </c>
      <c r="E281" s="203" t="str">
        <f t="shared" si="8"/>
        <v/>
      </c>
      <c r="F281" s="228"/>
      <c r="G281" s="206"/>
      <c r="H281" s="242"/>
      <c r="I281" s="247"/>
      <c r="J281" s="248"/>
      <c r="K281" s="249"/>
      <c r="L281" s="210"/>
      <c r="M281" s="217"/>
      <c r="N281" s="250"/>
      <c r="O281" s="251"/>
      <c r="P281" s="145"/>
      <c r="Q281" s="150"/>
      <c r="R281" s="150"/>
      <c r="S281" s="150"/>
      <c r="T281" s="150"/>
      <c r="U281" s="150"/>
      <c r="V281" s="150"/>
      <c r="W281" s="150"/>
      <c r="X281" s="150"/>
      <c r="Y281" s="150"/>
    </row>
    <row r="282" spans="2:25" ht="14.5" x14ac:dyDescent="0.35">
      <c r="B282" s="203">
        <f t="shared" si="9"/>
        <v>270</v>
      </c>
      <c r="C282" s="204">
        <f t="shared" si="6"/>
        <v>0</v>
      </c>
      <c r="D282" s="204" t="str">
        <f t="shared" si="7"/>
        <v/>
      </c>
      <c r="E282" s="203" t="str">
        <f t="shared" si="8"/>
        <v/>
      </c>
      <c r="F282" s="228"/>
      <c r="G282" s="206"/>
      <c r="H282" s="242"/>
      <c r="I282" s="247"/>
      <c r="J282" s="248"/>
      <c r="K282" s="249"/>
      <c r="L282" s="210"/>
      <c r="M282" s="217"/>
      <c r="N282" s="250"/>
      <c r="O282" s="251"/>
      <c r="P282" s="145"/>
      <c r="Q282" s="150"/>
      <c r="R282" s="150"/>
      <c r="S282" s="150"/>
      <c r="T282" s="150"/>
      <c r="U282" s="150"/>
      <c r="V282" s="150"/>
      <c r="W282" s="150"/>
      <c r="X282" s="150"/>
      <c r="Y282" s="150"/>
    </row>
    <row r="283" spans="2:25" ht="14.5" x14ac:dyDescent="0.35">
      <c r="B283" s="203">
        <f t="shared" si="9"/>
        <v>271</v>
      </c>
      <c r="C283" s="204">
        <f t="shared" si="6"/>
        <v>0</v>
      </c>
      <c r="D283" s="204" t="str">
        <f t="shared" si="7"/>
        <v/>
      </c>
      <c r="E283" s="203" t="str">
        <f t="shared" si="8"/>
        <v/>
      </c>
      <c r="F283" s="228"/>
      <c r="G283" s="206"/>
      <c r="H283" s="242"/>
      <c r="I283" s="247"/>
      <c r="J283" s="248"/>
      <c r="K283" s="249"/>
      <c r="L283" s="210"/>
      <c r="M283" s="217"/>
      <c r="N283" s="250"/>
      <c r="O283" s="251"/>
      <c r="P283" s="145"/>
      <c r="Q283" s="150"/>
      <c r="R283" s="150"/>
      <c r="S283" s="150"/>
      <c r="T283" s="150"/>
      <c r="U283" s="150"/>
      <c r="V283" s="150"/>
      <c r="W283" s="150"/>
      <c r="X283" s="150"/>
      <c r="Y283" s="150"/>
    </row>
    <row r="284" spans="2:25" ht="14.5" x14ac:dyDescent="0.35">
      <c r="B284" s="203">
        <f t="shared" si="9"/>
        <v>272</v>
      </c>
      <c r="C284" s="204">
        <f t="shared" si="6"/>
        <v>0</v>
      </c>
      <c r="D284" s="204" t="str">
        <f t="shared" si="7"/>
        <v/>
      </c>
      <c r="E284" s="203" t="str">
        <f t="shared" si="8"/>
        <v/>
      </c>
      <c r="F284" s="228"/>
      <c r="G284" s="206"/>
      <c r="H284" s="242"/>
      <c r="I284" s="247"/>
      <c r="J284" s="248"/>
      <c r="K284" s="249"/>
      <c r="L284" s="210"/>
      <c r="M284" s="217"/>
      <c r="N284" s="250"/>
      <c r="O284" s="251"/>
      <c r="P284" s="145"/>
      <c r="Q284" s="150"/>
      <c r="R284" s="150"/>
      <c r="S284" s="150"/>
      <c r="T284" s="150"/>
      <c r="U284" s="150"/>
      <c r="V284" s="150"/>
      <c r="W284" s="150"/>
      <c r="X284" s="150"/>
      <c r="Y284" s="150"/>
    </row>
    <row r="285" spans="2:25" ht="14.5" x14ac:dyDescent="0.35">
      <c r="B285" s="203">
        <f t="shared" si="9"/>
        <v>273</v>
      </c>
      <c r="C285" s="204">
        <f t="shared" si="6"/>
        <v>0</v>
      </c>
      <c r="D285" s="204" t="str">
        <f t="shared" si="7"/>
        <v/>
      </c>
      <c r="E285" s="203" t="str">
        <f t="shared" si="8"/>
        <v/>
      </c>
      <c r="F285" s="228"/>
      <c r="G285" s="206"/>
      <c r="H285" s="242"/>
      <c r="I285" s="247"/>
      <c r="J285" s="248"/>
      <c r="K285" s="249"/>
      <c r="L285" s="210"/>
      <c r="M285" s="217"/>
      <c r="N285" s="250"/>
      <c r="O285" s="251"/>
      <c r="P285" s="145"/>
      <c r="Q285" s="150"/>
      <c r="R285" s="150"/>
      <c r="S285" s="150"/>
      <c r="T285" s="150"/>
      <c r="U285" s="150"/>
      <c r="V285" s="150"/>
      <c r="W285" s="150"/>
      <c r="X285" s="150"/>
      <c r="Y285" s="150"/>
    </row>
    <row r="286" spans="2:25" ht="14.5" x14ac:dyDescent="0.35">
      <c r="B286" s="203">
        <f t="shared" si="9"/>
        <v>274</v>
      </c>
      <c r="C286" s="204">
        <f t="shared" si="6"/>
        <v>0</v>
      </c>
      <c r="D286" s="204" t="str">
        <f t="shared" si="7"/>
        <v/>
      </c>
      <c r="E286" s="203" t="str">
        <f t="shared" si="8"/>
        <v/>
      </c>
      <c r="F286" s="228"/>
      <c r="G286" s="206"/>
      <c r="H286" s="242"/>
      <c r="I286" s="247"/>
      <c r="J286" s="248"/>
      <c r="K286" s="249"/>
      <c r="L286" s="210"/>
      <c r="M286" s="217"/>
      <c r="N286" s="250"/>
      <c r="O286" s="251"/>
      <c r="P286" s="145"/>
      <c r="Q286" s="150"/>
      <c r="R286" s="150"/>
      <c r="S286" s="150"/>
      <c r="T286" s="150"/>
      <c r="U286" s="150"/>
      <c r="V286" s="150"/>
      <c r="W286" s="150"/>
      <c r="X286" s="150"/>
      <c r="Y286" s="150"/>
    </row>
    <row r="287" spans="2:25" ht="14.5" x14ac:dyDescent="0.35">
      <c r="B287" s="203">
        <f t="shared" si="9"/>
        <v>275</v>
      </c>
      <c r="C287" s="204">
        <f t="shared" si="6"/>
        <v>0</v>
      </c>
      <c r="D287" s="204" t="str">
        <f t="shared" si="7"/>
        <v/>
      </c>
      <c r="E287" s="203" t="str">
        <f t="shared" si="8"/>
        <v/>
      </c>
      <c r="F287" s="228"/>
      <c r="G287" s="206"/>
      <c r="H287" s="242"/>
      <c r="I287" s="247"/>
      <c r="J287" s="248"/>
      <c r="K287" s="249"/>
      <c r="L287" s="210"/>
      <c r="M287" s="217"/>
      <c r="N287" s="250"/>
      <c r="O287" s="251"/>
      <c r="P287" s="145"/>
      <c r="Q287" s="150"/>
      <c r="R287" s="150"/>
      <c r="S287" s="150"/>
      <c r="T287" s="150"/>
      <c r="U287" s="150"/>
      <c r="V287" s="150"/>
      <c r="W287" s="150"/>
      <c r="X287" s="150"/>
      <c r="Y287" s="150"/>
    </row>
    <row r="288" spans="2:25" ht="14.5" x14ac:dyDescent="0.35">
      <c r="B288" s="203">
        <f t="shared" si="9"/>
        <v>276</v>
      </c>
      <c r="C288" s="204">
        <f t="shared" si="6"/>
        <v>0</v>
      </c>
      <c r="D288" s="204" t="str">
        <f t="shared" si="7"/>
        <v/>
      </c>
      <c r="E288" s="203" t="str">
        <f t="shared" si="8"/>
        <v/>
      </c>
      <c r="F288" s="228"/>
      <c r="G288" s="206"/>
      <c r="H288" s="242"/>
      <c r="I288" s="247"/>
      <c r="J288" s="248"/>
      <c r="K288" s="249"/>
      <c r="L288" s="210"/>
      <c r="M288" s="217"/>
      <c r="N288" s="250"/>
      <c r="O288" s="251"/>
      <c r="P288" s="145"/>
      <c r="Q288" s="150"/>
      <c r="R288" s="150"/>
      <c r="S288" s="150"/>
      <c r="T288" s="150"/>
      <c r="U288" s="150"/>
      <c r="V288" s="150"/>
      <c r="W288" s="150"/>
      <c r="X288" s="150"/>
      <c r="Y288" s="150"/>
    </row>
    <row r="289" spans="2:25" ht="14.5" x14ac:dyDescent="0.35">
      <c r="B289" s="203">
        <f t="shared" si="9"/>
        <v>277</v>
      </c>
      <c r="C289" s="204">
        <f t="shared" si="6"/>
        <v>0</v>
      </c>
      <c r="D289" s="204" t="str">
        <f t="shared" si="7"/>
        <v/>
      </c>
      <c r="E289" s="203" t="str">
        <f t="shared" si="8"/>
        <v/>
      </c>
      <c r="F289" s="228"/>
      <c r="G289" s="206"/>
      <c r="H289" s="242"/>
      <c r="I289" s="247"/>
      <c r="J289" s="248"/>
      <c r="K289" s="249"/>
      <c r="L289" s="210"/>
      <c r="M289" s="217"/>
      <c r="N289" s="250"/>
      <c r="O289" s="251"/>
      <c r="P289" s="145"/>
      <c r="Q289" s="150"/>
      <c r="R289" s="150"/>
      <c r="S289" s="150"/>
      <c r="T289" s="150"/>
      <c r="U289" s="150"/>
      <c r="V289" s="150"/>
      <c r="W289" s="150"/>
      <c r="X289" s="150"/>
      <c r="Y289" s="150"/>
    </row>
    <row r="290" spans="2:25" ht="14.5" x14ac:dyDescent="0.35">
      <c r="B290" s="203">
        <f t="shared" si="9"/>
        <v>278</v>
      </c>
      <c r="C290" s="204">
        <f t="shared" si="6"/>
        <v>0</v>
      </c>
      <c r="D290" s="204" t="str">
        <f t="shared" si="7"/>
        <v/>
      </c>
      <c r="E290" s="203" t="str">
        <f t="shared" si="8"/>
        <v/>
      </c>
      <c r="F290" s="228"/>
      <c r="G290" s="206"/>
      <c r="H290" s="242"/>
      <c r="I290" s="247"/>
      <c r="J290" s="248"/>
      <c r="K290" s="249"/>
      <c r="L290" s="210"/>
      <c r="M290" s="217"/>
      <c r="N290" s="250"/>
      <c r="O290" s="251"/>
      <c r="P290" s="145"/>
      <c r="Q290" s="150"/>
      <c r="R290" s="150"/>
      <c r="S290" s="150"/>
      <c r="T290" s="150"/>
      <c r="U290" s="150"/>
      <c r="V290" s="150"/>
      <c r="W290" s="150"/>
      <c r="X290" s="150"/>
      <c r="Y290" s="150"/>
    </row>
    <row r="291" spans="2:25" ht="14.5" x14ac:dyDescent="0.35">
      <c r="B291" s="203">
        <f t="shared" si="9"/>
        <v>279</v>
      </c>
      <c r="C291" s="204">
        <f t="shared" si="6"/>
        <v>0</v>
      </c>
      <c r="D291" s="204" t="str">
        <f t="shared" si="7"/>
        <v/>
      </c>
      <c r="E291" s="203" t="str">
        <f t="shared" si="8"/>
        <v/>
      </c>
      <c r="F291" s="228"/>
      <c r="G291" s="206"/>
      <c r="H291" s="242"/>
      <c r="I291" s="247"/>
      <c r="J291" s="248"/>
      <c r="K291" s="249"/>
      <c r="L291" s="210"/>
      <c r="M291" s="217"/>
      <c r="N291" s="250"/>
      <c r="O291" s="251"/>
      <c r="P291" s="145"/>
      <c r="Q291" s="150"/>
      <c r="R291" s="150"/>
      <c r="S291" s="150"/>
      <c r="T291" s="150"/>
      <c r="U291" s="150"/>
      <c r="V291" s="150"/>
      <c r="W291" s="150"/>
      <c r="X291" s="150"/>
      <c r="Y291" s="150"/>
    </row>
    <row r="292" spans="2:25" ht="14.5" x14ac:dyDescent="0.35">
      <c r="B292" s="203">
        <f t="shared" si="9"/>
        <v>280</v>
      </c>
      <c r="C292" s="204">
        <f t="shared" si="6"/>
        <v>0</v>
      </c>
      <c r="D292" s="204" t="str">
        <f t="shared" si="7"/>
        <v/>
      </c>
      <c r="E292" s="203" t="str">
        <f t="shared" si="8"/>
        <v/>
      </c>
      <c r="F292" s="228"/>
      <c r="G292" s="206"/>
      <c r="H292" s="242"/>
      <c r="I292" s="247"/>
      <c r="J292" s="248"/>
      <c r="K292" s="249"/>
      <c r="L292" s="210"/>
      <c r="M292" s="217"/>
      <c r="N292" s="250"/>
      <c r="O292" s="251"/>
      <c r="P292" s="145"/>
      <c r="Q292" s="150"/>
      <c r="R292" s="150"/>
      <c r="S292" s="150"/>
      <c r="T292" s="150"/>
      <c r="U292" s="150"/>
      <c r="V292" s="150"/>
      <c r="W292" s="150"/>
      <c r="X292" s="150"/>
      <c r="Y292" s="150"/>
    </row>
    <row r="293" spans="2:25" ht="14.5" x14ac:dyDescent="0.35">
      <c r="B293" s="203">
        <f t="shared" si="9"/>
        <v>281</v>
      </c>
      <c r="C293" s="204">
        <f t="shared" si="6"/>
        <v>0</v>
      </c>
      <c r="D293" s="204" t="str">
        <f t="shared" si="7"/>
        <v/>
      </c>
      <c r="E293" s="203" t="str">
        <f t="shared" si="8"/>
        <v/>
      </c>
      <c r="F293" s="228"/>
      <c r="G293" s="206"/>
      <c r="H293" s="242"/>
      <c r="I293" s="247"/>
      <c r="J293" s="248"/>
      <c r="K293" s="249"/>
      <c r="L293" s="210"/>
      <c r="M293" s="217"/>
      <c r="N293" s="250"/>
      <c r="O293" s="251"/>
      <c r="P293" s="145"/>
      <c r="Q293" s="150"/>
      <c r="R293" s="150"/>
      <c r="S293" s="150"/>
      <c r="T293" s="150"/>
      <c r="U293" s="150"/>
      <c r="V293" s="150"/>
      <c r="W293" s="150"/>
      <c r="X293" s="150"/>
      <c r="Y293" s="150"/>
    </row>
    <row r="294" spans="2:25" ht="14.5" x14ac:dyDescent="0.35">
      <c r="B294" s="203">
        <f t="shared" si="9"/>
        <v>282</v>
      </c>
      <c r="C294" s="204">
        <f t="shared" si="6"/>
        <v>0</v>
      </c>
      <c r="D294" s="204" t="str">
        <f t="shared" si="7"/>
        <v/>
      </c>
      <c r="E294" s="203" t="str">
        <f t="shared" si="8"/>
        <v/>
      </c>
      <c r="F294" s="228"/>
      <c r="G294" s="206"/>
      <c r="H294" s="242"/>
      <c r="I294" s="247"/>
      <c r="J294" s="248"/>
      <c r="K294" s="249"/>
      <c r="L294" s="210"/>
      <c r="M294" s="217"/>
      <c r="N294" s="250"/>
      <c r="O294" s="251"/>
      <c r="P294" s="145"/>
      <c r="Q294" s="150"/>
      <c r="R294" s="150"/>
      <c r="S294" s="150"/>
      <c r="T294" s="150"/>
      <c r="U294" s="150"/>
      <c r="V294" s="150"/>
      <c r="W294" s="150"/>
      <c r="X294" s="150"/>
      <c r="Y294" s="150"/>
    </row>
    <row r="295" spans="2:25" ht="14.5" x14ac:dyDescent="0.35">
      <c r="B295" s="203">
        <f t="shared" si="9"/>
        <v>283</v>
      </c>
      <c r="C295" s="204">
        <f t="shared" si="6"/>
        <v>0</v>
      </c>
      <c r="D295" s="204" t="str">
        <f t="shared" si="7"/>
        <v/>
      </c>
      <c r="E295" s="203" t="str">
        <f t="shared" si="8"/>
        <v/>
      </c>
      <c r="F295" s="228"/>
      <c r="G295" s="206"/>
      <c r="H295" s="242"/>
      <c r="I295" s="247"/>
      <c r="J295" s="248"/>
      <c r="K295" s="249"/>
      <c r="L295" s="210"/>
      <c r="M295" s="217"/>
      <c r="N295" s="250"/>
      <c r="O295" s="251"/>
      <c r="P295" s="145"/>
      <c r="Q295" s="150"/>
      <c r="R295" s="150"/>
      <c r="S295" s="150"/>
      <c r="T295" s="150"/>
      <c r="U295" s="150"/>
      <c r="V295" s="150"/>
      <c r="W295" s="150"/>
      <c r="X295" s="150"/>
      <c r="Y295" s="150"/>
    </row>
    <row r="296" spans="2:25" ht="14.5" x14ac:dyDescent="0.35">
      <c r="B296" s="203">
        <f t="shared" si="9"/>
        <v>284</v>
      </c>
      <c r="C296" s="204">
        <f t="shared" si="6"/>
        <v>0</v>
      </c>
      <c r="D296" s="204" t="str">
        <f t="shared" si="7"/>
        <v/>
      </c>
      <c r="E296" s="203" t="str">
        <f t="shared" si="8"/>
        <v/>
      </c>
      <c r="F296" s="228"/>
      <c r="G296" s="206"/>
      <c r="H296" s="242"/>
      <c r="I296" s="247"/>
      <c r="J296" s="248"/>
      <c r="K296" s="249"/>
      <c r="L296" s="210"/>
      <c r="M296" s="217"/>
      <c r="N296" s="250"/>
      <c r="O296" s="251"/>
      <c r="P296" s="145"/>
      <c r="Q296" s="150"/>
      <c r="R296" s="150"/>
      <c r="S296" s="150"/>
      <c r="T296" s="150"/>
      <c r="U296" s="150"/>
      <c r="V296" s="150"/>
      <c r="W296" s="150"/>
      <c r="X296" s="150"/>
      <c r="Y296" s="150"/>
    </row>
    <row r="297" spans="2:25" ht="14.5" x14ac:dyDescent="0.35">
      <c r="B297" s="203">
        <f t="shared" si="9"/>
        <v>285</v>
      </c>
      <c r="C297" s="204">
        <f t="shared" si="6"/>
        <v>0</v>
      </c>
      <c r="D297" s="204" t="str">
        <f t="shared" si="7"/>
        <v/>
      </c>
      <c r="E297" s="203" t="str">
        <f t="shared" si="8"/>
        <v/>
      </c>
      <c r="F297" s="228"/>
      <c r="G297" s="206"/>
      <c r="H297" s="242"/>
      <c r="I297" s="247"/>
      <c r="J297" s="248"/>
      <c r="K297" s="249"/>
      <c r="L297" s="210"/>
      <c r="M297" s="217"/>
      <c r="N297" s="250"/>
      <c r="O297" s="251"/>
      <c r="P297" s="145"/>
      <c r="Q297" s="150"/>
      <c r="R297" s="150"/>
      <c r="S297" s="150"/>
      <c r="T297" s="150"/>
      <c r="U297" s="150"/>
      <c r="V297" s="150"/>
      <c r="W297" s="150"/>
      <c r="X297" s="150"/>
      <c r="Y297" s="150"/>
    </row>
    <row r="298" spans="2:25" ht="14.5" x14ac:dyDescent="0.35">
      <c r="B298" s="203">
        <f t="shared" si="9"/>
        <v>286</v>
      </c>
      <c r="C298" s="204">
        <f t="shared" si="6"/>
        <v>0</v>
      </c>
      <c r="D298" s="204" t="str">
        <f t="shared" si="7"/>
        <v/>
      </c>
      <c r="E298" s="203" t="str">
        <f t="shared" si="8"/>
        <v/>
      </c>
      <c r="F298" s="228"/>
      <c r="G298" s="206"/>
      <c r="H298" s="242"/>
      <c r="I298" s="247"/>
      <c r="J298" s="248"/>
      <c r="K298" s="249"/>
      <c r="L298" s="210"/>
      <c r="M298" s="217"/>
      <c r="N298" s="250"/>
      <c r="O298" s="251"/>
      <c r="P298" s="145"/>
      <c r="Q298" s="150"/>
      <c r="R298" s="150"/>
      <c r="S298" s="150"/>
      <c r="T298" s="150"/>
      <c r="U298" s="150"/>
      <c r="V298" s="150"/>
      <c r="W298" s="150"/>
      <c r="X298" s="150"/>
      <c r="Y298" s="150"/>
    </row>
    <row r="299" spans="2:25" ht="14.5" x14ac:dyDescent="0.35">
      <c r="B299" s="203">
        <f t="shared" si="9"/>
        <v>287</v>
      </c>
      <c r="C299" s="204">
        <f t="shared" si="6"/>
        <v>0</v>
      </c>
      <c r="D299" s="204" t="str">
        <f t="shared" si="7"/>
        <v/>
      </c>
      <c r="E299" s="203" t="str">
        <f t="shared" si="8"/>
        <v/>
      </c>
      <c r="F299" s="228"/>
      <c r="G299" s="206"/>
      <c r="H299" s="242"/>
      <c r="I299" s="247"/>
      <c r="J299" s="248"/>
      <c r="K299" s="249"/>
      <c r="L299" s="210"/>
      <c r="M299" s="217"/>
      <c r="N299" s="250"/>
      <c r="O299" s="251"/>
      <c r="P299" s="145"/>
      <c r="Q299" s="150"/>
      <c r="R299" s="150"/>
      <c r="S299" s="150"/>
      <c r="T299" s="150"/>
      <c r="U299" s="150"/>
      <c r="V299" s="150"/>
      <c r="W299" s="150"/>
      <c r="X299" s="150"/>
      <c r="Y299" s="150"/>
    </row>
    <row r="300" spans="2:25" ht="14.5" x14ac:dyDescent="0.35">
      <c r="B300" s="203">
        <f t="shared" si="9"/>
        <v>288</v>
      </c>
      <c r="C300" s="204">
        <f t="shared" si="6"/>
        <v>0</v>
      </c>
      <c r="D300" s="204" t="str">
        <f t="shared" si="7"/>
        <v/>
      </c>
      <c r="E300" s="203" t="str">
        <f t="shared" si="8"/>
        <v/>
      </c>
      <c r="F300" s="228"/>
      <c r="G300" s="206"/>
      <c r="H300" s="242"/>
      <c r="I300" s="247"/>
      <c r="J300" s="248"/>
      <c r="K300" s="249"/>
      <c r="L300" s="210"/>
      <c r="M300" s="217"/>
      <c r="N300" s="250"/>
      <c r="O300" s="251"/>
      <c r="P300" s="145"/>
      <c r="Q300" s="150"/>
      <c r="R300" s="150"/>
      <c r="S300" s="150"/>
      <c r="T300" s="150"/>
      <c r="U300" s="150"/>
      <c r="V300" s="150"/>
      <c r="W300" s="150"/>
      <c r="X300" s="150"/>
      <c r="Y300" s="150"/>
    </row>
    <row r="301" spans="2:25" ht="14.5" x14ac:dyDescent="0.35">
      <c r="B301" s="203">
        <f t="shared" si="9"/>
        <v>289</v>
      </c>
      <c r="C301" s="204">
        <f t="shared" si="6"/>
        <v>0</v>
      </c>
      <c r="D301" s="204" t="str">
        <f t="shared" si="7"/>
        <v/>
      </c>
      <c r="E301" s="203" t="str">
        <f t="shared" si="8"/>
        <v/>
      </c>
      <c r="F301" s="228"/>
      <c r="G301" s="206"/>
      <c r="H301" s="242"/>
      <c r="I301" s="247"/>
      <c r="J301" s="248"/>
      <c r="K301" s="249"/>
      <c r="L301" s="210"/>
      <c r="M301" s="217"/>
      <c r="N301" s="250"/>
      <c r="O301" s="251"/>
      <c r="P301" s="145"/>
      <c r="Q301" s="150"/>
      <c r="R301" s="150"/>
      <c r="S301" s="150"/>
      <c r="T301" s="150"/>
      <c r="U301" s="150"/>
      <c r="V301" s="150"/>
      <c r="W301" s="150"/>
      <c r="X301" s="150"/>
      <c r="Y301" s="150"/>
    </row>
    <row r="302" spans="2:25" ht="14.5" x14ac:dyDescent="0.35">
      <c r="B302" s="203">
        <f t="shared" si="9"/>
        <v>290</v>
      </c>
      <c r="C302" s="204">
        <f t="shared" si="6"/>
        <v>0</v>
      </c>
      <c r="D302" s="204" t="str">
        <f t="shared" si="7"/>
        <v/>
      </c>
      <c r="E302" s="203" t="str">
        <f t="shared" si="8"/>
        <v/>
      </c>
      <c r="F302" s="228"/>
      <c r="G302" s="206"/>
      <c r="H302" s="252"/>
      <c r="I302" s="247"/>
      <c r="J302" s="248"/>
      <c r="K302" s="249"/>
      <c r="L302" s="210"/>
      <c r="M302" s="217"/>
      <c r="N302" s="250"/>
      <c r="O302" s="251"/>
      <c r="P302" s="145"/>
      <c r="Q302" s="150"/>
      <c r="R302" s="150"/>
      <c r="S302" s="150"/>
      <c r="T302" s="150"/>
      <c r="U302" s="150"/>
      <c r="V302" s="150"/>
      <c r="W302" s="150"/>
      <c r="X302" s="150"/>
      <c r="Y302" s="150"/>
    </row>
    <row r="303" spans="2:25" ht="14.5" x14ac:dyDescent="0.35">
      <c r="B303" s="203">
        <f t="shared" si="9"/>
        <v>291</v>
      </c>
      <c r="C303" s="204">
        <f t="shared" si="6"/>
        <v>0</v>
      </c>
      <c r="D303" s="204" t="str">
        <f t="shared" si="7"/>
        <v/>
      </c>
      <c r="E303" s="203" t="str">
        <f t="shared" si="8"/>
        <v/>
      </c>
      <c r="F303" s="228"/>
      <c r="G303" s="206"/>
      <c r="H303" s="242"/>
      <c r="I303" s="247"/>
      <c r="J303" s="248"/>
      <c r="K303" s="249"/>
      <c r="L303" s="210"/>
      <c r="M303" s="217"/>
      <c r="N303" s="250"/>
      <c r="O303" s="251"/>
      <c r="P303" s="145"/>
      <c r="Q303" s="150"/>
      <c r="R303" s="150"/>
      <c r="S303" s="150"/>
      <c r="T303" s="150"/>
      <c r="U303" s="150"/>
      <c r="V303" s="150"/>
      <c r="W303" s="150"/>
      <c r="X303" s="150"/>
      <c r="Y303" s="150"/>
    </row>
    <row r="304" spans="2:25" ht="14.5" x14ac:dyDescent="0.35">
      <c r="B304" s="203">
        <f t="shared" si="9"/>
        <v>292</v>
      </c>
      <c r="C304" s="204">
        <f t="shared" si="6"/>
        <v>0</v>
      </c>
      <c r="D304" s="204" t="str">
        <f t="shared" si="7"/>
        <v/>
      </c>
      <c r="E304" s="203" t="str">
        <f t="shared" si="8"/>
        <v/>
      </c>
      <c r="F304" s="228"/>
      <c r="G304" s="206"/>
      <c r="H304" s="242"/>
      <c r="I304" s="247"/>
      <c r="J304" s="248"/>
      <c r="K304" s="249"/>
      <c r="L304" s="210"/>
      <c r="M304" s="217"/>
      <c r="N304" s="250"/>
      <c r="O304" s="251"/>
      <c r="P304" s="145"/>
      <c r="Q304" s="150"/>
      <c r="R304" s="150"/>
      <c r="S304" s="150"/>
      <c r="T304" s="150"/>
      <c r="U304" s="150"/>
      <c r="V304" s="150"/>
      <c r="W304" s="150"/>
      <c r="X304" s="150"/>
      <c r="Y304" s="150"/>
    </row>
    <row r="305" spans="2:25" ht="14.5" x14ac:dyDescent="0.35">
      <c r="B305" s="203">
        <f t="shared" si="9"/>
        <v>293</v>
      </c>
      <c r="C305" s="204">
        <f t="shared" si="6"/>
        <v>0</v>
      </c>
      <c r="D305" s="204" t="str">
        <f t="shared" si="7"/>
        <v/>
      </c>
      <c r="E305" s="203" t="str">
        <f t="shared" si="8"/>
        <v/>
      </c>
      <c r="F305" s="228"/>
      <c r="G305" s="206"/>
      <c r="H305" s="242"/>
      <c r="I305" s="247"/>
      <c r="J305" s="248"/>
      <c r="K305" s="249"/>
      <c r="L305" s="210"/>
      <c r="M305" s="217"/>
      <c r="N305" s="250"/>
      <c r="O305" s="251"/>
      <c r="P305" s="145"/>
      <c r="Q305" s="150"/>
      <c r="R305" s="150"/>
      <c r="S305" s="150"/>
      <c r="T305" s="150"/>
      <c r="U305" s="150"/>
      <c r="V305" s="150"/>
      <c r="W305" s="150"/>
      <c r="X305" s="150"/>
      <c r="Y305" s="150"/>
    </row>
    <row r="306" spans="2:25" ht="14.5" x14ac:dyDescent="0.35">
      <c r="B306" s="203">
        <f t="shared" si="9"/>
        <v>294</v>
      </c>
      <c r="C306" s="204">
        <f t="shared" si="6"/>
        <v>0</v>
      </c>
      <c r="D306" s="204" t="str">
        <f t="shared" si="7"/>
        <v/>
      </c>
      <c r="E306" s="203" t="str">
        <f t="shared" si="8"/>
        <v/>
      </c>
      <c r="F306" s="228"/>
      <c r="G306" s="206"/>
      <c r="H306" s="242"/>
      <c r="I306" s="247"/>
      <c r="J306" s="248"/>
      <c r="K306" s="249"/>
      <c r="L306" s="210"/>
      <c r="M306" s="217"/>
      <c r="N306" s="250"/>
      <c r="O306" s="251"/>
      <c r="P306" s="145"/>
      <c r="Q306" s="150"/>
      <c r="R306" s="150"/>
      <c r="S306" s="150"/>
      <c r="T306" s="150"/>
      <c r="U306" s="150"/>
      <c r="V306" s="150"/>
      <c r="W306" s="150"/>
      <c r="X306" s="150"/>
      <c r="Y306" s="150"/>
    </row>
    <row r="307" spans="2:25" ht="14.5" x14ac:dyDescent="0.35">
      <c r="B307" s="203">
        <f t="shared" si="9"/>
        <v>295</v>
      </c>
      <c r="C307" s="204">
        <f t="shared" si="6"/>
        <v>0</v>
      </c>
      <c r="D307" s="204" t="str">
        <f t="shared" si="7"/>
        <v/>
      </c>
      <c r="E307" s="203" t="str">
        <f t="shared" si="8"/>
        <v/>
      </c>
      <c r="F307" s="228"/>
      <c r="G307" s="206"/>
      <c r="H307" s="242"/>
      <c r="I307" s="247"/>
      <c r="J307" s="248"/>
      <c r="K307" s="249"/>
      <c r="L307" s="210"/>
      <c r="M307" s="217"/>
      <c r="N307" s="250"/>
      <c r="O307" s="251"/>
      <c r="P307" s="145"/>
      <c r="Q307" s="150"/>
      <c r="R307" s="150"/>
      <c r="S307" s="150"/>
      <c r="T307" s="150"/>
      <c r="U307" s="150"/>
      <c r="V307" s="150"/>
      <c r="W307" s="150"/>
      <c r="X307" s="150"/>
      <c r="Y307" s="150"/>
    </row>
    <row r="308" spans="2:25" ht="14.5" x14ac:dyDescent="0.35">
      <c r="B308" s="203">
        <f t="shared" si="9"/>
        <v>296</v>
      </c>
      <c r="C308" s="204">
        <f t="shared" si="6"/>
        <v>0</v>
      </c>
      <c r="D308" s="204" t="str">
        <f t="shared" si="7"/>
        <v/>
      </c>
      <c r="E308" s="203" t="str">
        <f t="shared" si="8"/>
        <v/>
      </c>
      <c r="F308" s="228"/>
      <c r="G308" s="206"/>
      <c r="H308" s="242"/>
      <c r="I308" s="247"/>
      <c r="J308" s="253"/>
      <c r="K308" s="254"/>
      <c r="L308" s="255"/>
      <c r="M308" s="217"/>
      <c r="N308" s="250"/>
      <c r="O308" s="251"/>
      <c r="P308" s="145"/>
      <c r="Q308" s="150"/>
      <c r="R308" s="150"/>
      <c r="S308" s="150"/>
      <c r="T308" s="150"/>
      <c r="U308" s="150"/>
      <c r="V308" s="150"/>
      <c r="W308" s="150"/>
      <c r="X308" s="150"/>
      <c r="Y308" s="150"/>
    </row>
    <row r="309" spans="2:25" ht="14.5" x14ac:dyDescent="0.35">
      <c r="B309" s="203">
        <f t="shared" si="9"/>
        <v>297</v>
      </c>
      <c r="C309" s="204">
        <f t="shared" si="6"/>
        <v>0</v>
      </c>
      <c r="D309" s="204" t="str">
        <f t="shared" si="7"/>
        <v/>
      </c>
      <c r="E309" s="203" t="str">
        <f t="shared" si="8"/>
        <v/>
      </c>
      <c r="F309" s="228"/>
      <c r="G309" s="206"/>
      <c r="H309" s="242"/>
      <c r="I309" s="247"/>
      <c r="J309" s="253"/>
      <c r="K309" s="254"/>
      <c r="L309" s="255"/>
      <c r="M309" s="217"/>
      <c r="N309" s="250"/>
      <c r="O309" s="251"/>
      <c r="P309" s="145"/>
      <c r="Q309" s="150"/>
      <c r="R309" s="150"/>
      <c r="S309" s="150"/>
      <c r="T309" s="150"/>
      <c r="U309" s="150"/>
      <c r="V309" s="150"/>
      <c r="W309" s="150"/>
      <c r="X309" s="150"/>
      <c r="Y309" s="150"/>
    </row>
    <row r="310" spans="2:25" ht="14.5" x14ac:dyDescent="0.35">
      <c r="B310" s="203">
        <f t="shared" si="9"/>
        <v>298</v>
      </c>
      <c r="C310" s="204">
        <f t="shared" si="6"/>
        <v>0</v>
      </c>
      <c r="D310" s="204" t="str">
        <f t="shared" si="7"/>
        <v/>
      </c>
      <c r="E310" s="203" t="str">
        <f t="shared" si="8"/>
        <v/>
      </c>
      <c r="F310" s="228"/>
      <c r="G310" s="206"/>
      <c r="H310" s="242"/>
      <c r="I310" s="247"/>
      <c r="J310" s="253"/>
      <c r="K310" s="254"/>
      <c r="L310" s="255"/>
      <c r="M310" s="217"/>
      <c r="N310" s="250"/>
      <c r="O310" s="251"/>
      <c r="P310" s="145"/>
      <c r="Q310" s="150"/>
      <c r="R310" s="150"/>
      <c r="S310" s="150"/>
      <c r="T310" s="150"/>
      <c r="U310" s="150"/>
      <c r="V310" s="150"/>
      <c r="W310" s="150"/>
      <c r="X310" s="150"/>
      <c r="Y310" s="150"/>
    </row>
    <row r="311" spans="2:25" ht="14.5" x14ac:dyDescent="0.35">
      <c r="B311" s="203">
        <f t="shared" si="9"/>
        <v>299</v>
      </c>
      <c r="C311" s="204">
        <f t="shared" si="6"/>
        <v>0</v>
      </c>
      <c r="D311" s="204" t="str">
        <f t="shared" si="7"/>
        <v/>
      </c>
      <c r="E311" s="203" t="str">
        <f t="shared" si="8"/>
        <v/>
      </c>
      <c r="F311" s="228"/>
      <c r="G311" s="206"/>
      <c r="H311" s="242"/>
      <c r="I311" s="247"/>
      <c r="J311" s="253"/>
      <c r="K311" s="254"/>
      <c r="L311" s="255"/>
      <c r="M311" s="217"/>
      <c r="N311" s="250"/>
      <c r="O311" s="251"/>
      <c r="P311" s="145"/>
      <c r="Q311" s="150"/>
      <c r="R311" s="150"/>
      <c r="S311" s="150"/>
      <c r="T311" s="150"/>
      <c r="U311" s="150"/>
      <c r="V311" s="150"/>
      <c r="W311" s="150"/>
      <c r="X311" s="150"/>
      <c r="Y311" s="150"/>
    </row>
    <row r="312" spans="2:25" ht="14.5" x14ac:dyDescent="0.35">
      <c r="B312" s="203">
        <f t="shared" si="9"/>
        <v>300</v>
      </c>
      <c r="C312" s="204">
        <f t="shared" si="6"/>
        <v>0</v>
      </c>
      <c r="D312" s="204" t="str">
        <f t="shared" si="7"/>
        <v/>
      </c>
      <c r="E312" s="203" t="str">
        <f t="shared" si="8"/>
        <v/>
      </c>
      <c r="F312" s="228"/>
      <c r="G312" s="206"/>
      <c r="H312" s="242"/>
      <c r="I312" s="247"/>
      <c r="J312" s="253"/>
      <c r="K312" s="254"/>
      <c r="L312" s="255"/>
      <c r="M312" s="217"/>
      <c r="N312" s="250"/>
      <c r="O312" s="251"/>
      <c r="P312" s="145"/>
      <c r="Q312" s="150"/>
      <c r="R312" s="150"/>
      <c r="S312" s="150"/>
      <c r="T312" s="150"/>
      <c r="U312" s="150"/>
      <c r="V312" s="150"/>
      <c r="W312" s="150"/>
      <c r="X312" s="150"/>
      <c r="Y312" s="150"/>
    </row>
    <row r="313" spans="2:25" ht="14.5" x14ac:dyDescent="0.35">
      <c r="B313" s="203">
        <f t="shared" si="9"/>
        <v>301</v>
      </c>
      <c r="C313" s="204">
        <f t="shared" si="6"/>
        <v>0</v>
      </c>
      <c r="D313" s="204" t="str">
        <f t="shared" si="7"/>
        <v/>
      </c>
      <c r="E313" s="203" t="str">
        <f t="shared" si="8"/>
        <v/>
      </c>
      <c r="F313" s="228"/>
      <c r="G313" s="206"/>
      <c r="H313" s="242"/>
      <c r="I313" s="247"/>
      <c r="J313" s="253"/>
      <c r="K313" s="254"/>
      <c r="L313" s="256"/>
      <c r="M313" s="217"/>
      <c r="N313" s="250"/>
      <c r="O313" s="251"/>
      <c r="P313" s="145"/>
      <c r="Q313" s="150"/>
      <c r="R313" s="150"/>
      <c r="S313" s="150"/>
      <c r="T313" s="150"/>
      <c r="U313" s="150"/>
      <c r="V313" s="150"/>
      <c r="W313" s="150"/>
      <c r="X313" s="150"/>
      <c r="Y313" s="150"/>
    </row>
    <row r="314" spans="2:25" ht="14.5" x14ac:dyDescent="0.35">
      <c r="B314" s="203">
        <f t="shared" si="9"/>
        <v>302</v>
      </c>
      <c r="C314" s="204">
        <f t="shared" si="6"/>
        <v>0</v>
      </c>
      <c r="D314" s="204" t="str">
        <f t="shared" si="7"/>
        <v/>
      </c>
      <c r="E314" s="203" t="str">
        <f t="shared" si="8"/>
        <v/>
      </c>
      <c r="F314" s="228"/>
      <c r="G314" s="206"/>
      <c r="H314" s="242"/>
      <c r="I314" s="247"/>
      <c r="J314" s="253"/>
      <c r="K314" s="254"/>
      <c r="L314" s="255"/>
      <c r="M314" s="217"/>
      <c r="N314" s="250"/>
      <c r="O314" s="251"/>
      <c r="P314" s="145"/>
      <c r="Q314" s="150"/>
      <c r="R314" s="150"/>
      <c r="S314" s="150"/>
      <c r="T314" s="150"/>
      <c r="U314" s="150"/>
      <c r="V314" s="150"/>
      <c r="W314" s="150"/>
      <c r="X314" s="150"/>
      <c r="Y314" s="150"/>
    </row>
    <row r="315" spans="2:25" ht="14.5" x14ac:dyDescent="0.35">
      <c r="B315" s="203">
        <f t="shared" si="9"/>
        <v>303</v>
      </c>
      <c r="C315" s="204">
        <f t="shared" si="6"/>
        <v>0</v>
      </c>
      <c r="D315" s="204" t="str">
        <f t="shared" si="7"/>
        <v/>
      </c>
      <c r="E315" s="203" t="str">
        <f t="shared" si="8"/>
        <v/>
      </c>
      <c r="F315" s="228"/>
      <c r="G315" s="206"/>
      <c r="H315" s="242"/>
      <c r="I315" s="247"/>
      <c r="J315" s="253"/>
      <c r="K315" s="254"/>
      <c r="L315" s="255"/>
      <c r="M315" s="217"/>
      <c r="N315" s="250"/>
      <c r="O315" s="251"/>
      <c r="P315" s="145"/>
      <c r="Q315" s="150"/>
      <c r="R315" s="150"/>
      <c r="S315" s="150"/>
      <c r="T315" s="150"/>
      <c r="U315" s="150"/>
      <c r="V315" s="150"/>
      <c r="W315" s="150"/>
      <c r="X315" s="150"/>
      <c r="Y315" s="150"/>
    </row>
    <row r="316" spans="2:25" ht="14.5" x14ac:dyDescent="0.35">
      <c r="B316" s="203">
        <f t="shared" si="9"/>
        <v>304</v>
      </c>
      <c r="C316" s="204">
        <f t="shared" si="6"/>
        <v>0</v>
      </c>
      <c r="D316" s="204" t="str">
        <f t="shared" si="7"/>
        <v/>
      </c>
      <c r="E316" s="203" t="str">
        <f t="shared" si="8"/>
        <v/>
      </c>
      <c r="F316" s="228"/>
      <c r="G316" s="206"/>
      <c r="H316" s="242"/>
      <c r="I316" s="247"/>
      <c r="J316" s="253"/>
      <c r="K316" s="254"/>
      <c r="L316" s="255"/>
      <c r="M316" s="217"/>
      <c r="N316" s="250"/>
      <c r="O316" s="251"/>
      <c r="P316" s="145"/>
      <c r="Q316" s="150"/>
      <c r="R316" s="150"/>
      <c r="S316" s="150"/>
      <c r="T316" s="150"/>
      <c r="U316" s="150"/>
      <c r="V316" s="150"/>
      <c r="W316" s="150"/>
      <c r="X316" s="150"/>
      <c r="Y316" s="150"/>
    </row>
    <row r="317" spans="2:25" ht="14.5" x14ac:dyDescent="0.35">
      <c r="B317" s="203">
        <f t="shared" si="9"/>
        <v>305</v>
      </c>
      <c r="C317" s="204">
        <f t="shared" si="6"/>
        <v>0</v>
      </c>
      <c r="D317" s="204" t="str">
        <f t="shared" si="7"/>
        <v/>
      </c>
      <c r="E317" s="203" t="str">
        <f t="shared" si="8"/>
        <v/>
      </c>
      <c r="F317" s="228"/>
      <c r="G317" s="206"/>
      <c r="H317" s="242"/>
      <c r="I317" s="247"/>
      <c r="J317" s="253"/>
      <c r="K317" s="254"/>
      <c r="L317" s="255"/>
      <c r="M317" s="217"/>
      <c r="N317" s="250"/>
      <c r="O317" s="251"/>
      <c r="P317" s="145"/>
      <c r="Q317" s="150"/>
      <c r="R317" s="150"/>
      <c r="S317" s="150"/>
      <c r="T317" s="150"/>
      <c r="U317" s="150"/>
      <c r="V317" s="150"/>
      <c r="W317" s="150"/>
      <c r="X317" s="150"/>
      <c r="Y317" s="150"/>
    </row>
    <row r="318" spans="2:25" ht="14.5" x14ac:dyDescent="0.35">
      <c r="B318" s="203">
        <f t="shared" si="9"/>
        <v>306</v>
      </c>
      <c r="C318" s="204">
        <f t="shared" si="6"/>
        <v>0</v>
      </c>
      <c r="D318" s="204" t="str">
        <f t="shared" si="7"/>
        <v/>
      </c>
      <c r="E318" s="203" t="str">
        <f t="shared" si="8"/>
        <v/>
      </c>
      <c r="F318" s="228"/>
      <c r="G318" s="206"/>
      <c r="H318" s="242"/>
      <c r="I318" s="247"/>
      <c r="J318" s="253"/>
      <c r="K318" s="254"/>
      <c r="L318" s="255"/>
      <c r="M318" s="217"/>
      <c r="N318" s="250"/>
      <c r="O318" s="251"/>
      <c r="P318" s="145"/>
      <c r="Q318" s="150"/>
      <c r="R318" s="150"/>
      <c r="S318" s="150"/>
      <c r="T318" s="150"/>
      <c r="U318" s="150"/>
      <c r="V318" s="150"/>
      <c r="W318" s="150"/>
      <c r="X318" s="150"/>
      <c r="Y318" s="150"/>
    </row>
    <row r="319" spans="2:25" ht="14.5" x14ac:dyDescent="0.35">
      <c r="B319" s="203">
        <f t="shared" si="9"/>
        <v>307</v>
      </c>
      <c r="C319" s="204">
        <f t="shared" si="6"/>
        <v>0</v>
      </c>
      <c r="D319" s="204" t="str">
        <f t="shared" si="7"/>
        <v/>
      </c>
      <c r="E319" s="203" t="str">
        <f t="shared" si="8"/>
        <v/>
      </c>
      <c r="F319" s="228"/>
      <c r="G319" s="206"/>
      <c r="H319" s="242"/>
      <c r="I319" s="247"/>
      <c r="J319" s="253"/>
      <c r="K319" s="254"/>
      <c r="L319" s="255"/>
      <c r="M319" s="217"/>
      <c r="N319" s="250"/>
      <c r="O319" s="251"/>
      <c r="P319" s="145"/>
      <c r="Q319" s="150"/>
      <c r="R319" s="150"/>
      <c r="S319" s="150"/>
      <c r="T319" s="150"/>
      <c r="U319" s="150"/>
      <c r="V319" s="150"/>
      <c r="W319" s="150"/>
      <c r="X319" s="150"/>
      <c r="Y319" s="150"/>
    </row>
    <row r="320" spans="2:25" ht="14.5" x14ac:dyDescent="0.35">
      <c r="B320" s="203">
        <f t="shared" si="9"/>
        <v>308</v>
      </c>
      <c r="C320" s="204">
        <f t="shared" si="6"/>
        <v>0</v>
      </c>
      <c r="D320" s="204" t="str">
        <f t="shared" si="7"/>
        <v/>
      </c>
      <c r="E320" s="203" t="str">
        <f t="shared" si="8"/>
        <v/>
      </c>
      <c r="F320" s="228"/>
      <c r="G320" s="206"/>
      <c r="H320" s="242"/>
      <c r="I320" s="247"/>
      <c r="J320" s="253"/>
      <c r="K320" s="254"/>
      <c r="L320" s="255"/>
      <c r="M320" s="217"/>
      <c r="N320" s="250"/>
      <c r="O320" s="251"/>
      <c r="P320" s="145"/>
      <c r="Q320" s="150"/>
      <c r="R320" s="150"/>
      <c r="S320" s="150"/>
      <c r="T320" s="150"/>
      <c r="U320" s="150"/>
      <c r="V320" s="150"/>
      <c r="W320" s="150"/>
      <c r="X320" s="150"/>
      <c r="Y320" s="150"/>
    </row>
    <row r="321" spans="2:25" ht="14.5" x14ac:dyDescent="0.35">
      <c r="B321" s="203">
        <f t="shared" si="9"/>
        <v>309</v>
      </c>
      <c r="C321" s="204">
        <f t="shared" si="6"/>
        <v>0</v>
      </c>
      <c r="D321" s="204" t="str">
        <f t="shared" si="7"/>
        <v/>
      </c>
      <c r="E321" s="203" t="str">
        <f t="shared" si="8"/>
        <v/>
      </c>
      <c r="F321" s="228"/>
      <c r="G321" s="206"/>
      <c r="H321" s="242"/>
      <c r="I321" s="247"/>
      <c r="J321" s="253"/>
      <c r="K321" s="254"/>
      <c r="L321" s="255"/>
      <c r="M321" s="217"/>
      <c r="N321" s="250"/>
      <c r="O321" s="251"/>
      <c r="P321" s="145"/>
      <c r="Q321" s="150"/>
      <c r="R321" s="150"/>
      <c r="S321" s="150"/>
      <c r="T321" s="150"/>
      <c r="U321" s="150"/>
      <c r="V321" s="150"/>
      <c r="W321" s="150"/>
      <c r="X321" s="150"/>
      <c r="Y321" s="150"/>
    </row>
    <row r="322" spans="2:25" ht="14.5" x14ac:dyDescent="0.35">
      <c r="B322" s="203">
        <f t="shared" si="9"/>
        <v>310</v>
      </c>
      <c r="C322" s="204">
        <f t="shared" si="6"/>
        <v>0</v>
      </c>
      <c r="D322" s="204" t="str">
        <f t="shared" si="7"/>
        <v/>
      </c>
      <c r="E322" s="203" t="str">
        <f t="shared" si="8"/>
        <v/>
      </c>
      <c r="F322" s="228"/>
      <c r="G322" s="206"/>
      <c r="H322" s="242"/>
      <c r="I322" s="247"/>
      <c r="J322" s="253"/>
      <c r="K322" s="254"/>
      <c r="L322" s="255"/>
      <c r="M322" s="217"/>
      <c r="N322" s="250"/>
      <c r="O322" s="251"/>
      <c r="P322" s="145"/>
      <c r="Q322" s="150"/>
      <c r="R322" s="150"/>
      <c r="S322" s="150"/>
      <c r="T322" s="150"/>
      <c r="U322" s="150"/>
      <c r="V322" s="150"/>
      <c r="W322" s="150"/>
      <c r="X322" s="150"/>
      <c r="Y322" s="150"/>
    </row>
    <row r="323" spans="2:25" ht="14.5" x14ac:dyDescent="0.35">
      <c r="B323" s="203">
        <f t="shared" si="9"/>
        <v>311</v>
      </c>
      <c r="C323" s="204">
        <f t="shared" si="6"/>
        <v>0</v>
      </c>
      <c r="D323" s="204" t="str">
        <f t="shared" si="7"/>
        <v/>
      </c>
      <c r="E323" s="203" t="str">
        <f t="shared" si="8"/>
        <v/>
      </c>
      <c r="F323" s="228"/>
      <c r="G323" s="206"/>
      <c r="H323" s="242"/>
      <c r="I323" s="247"/>
      <c r="J323" s="253"/>
      <c r="K323" s="254"/>
      <c r="L323" s="255"/>
      <c r="M323" s="217"/>
      <c r="N323" s="250"/>
      <c r="O323" s="251"/>
      <c r="P323" s="145"/>
      <c r="Q323" s="150"/>
      <c r="R323" s="150"/>
      <c r="S323" s="150"/>
      <c r="T323" s="150"/>
      <c r="U323" s="150"/>
      <c r="V323" s="150"/>
      <c r="W323" s="150"/>
      <c r="X323" s="150"/>
      <c r="Y323" s="150"/>
    </row>
    <row r="324" spans="2:25" ht="14.5" x14ac:dyDescent="0.35">
      <c r="B324" s="203">
        <f t="shared" si="9"/>
        <v>312</v>
      </c>
      <c r="C324" s="204">
        <f t="shared" si="6"/>
        <v>0</v>
      </c>
      <c r="D324" s="204" t="str">
        <f t="shared" si="7"/>
        <v/>
      </c>
      <c r="E324" s="203" t="str">
        <f t="shared" si="8"/>
        <v/>
      </c>
      <c r="F324" s="228"/>
      <c r="G324" s="206"/>
      <c r="H324" s="242"/>
      <c r="I324" s="247"/>
      <c r="J324" s="253"/>
      <c r="K324" s="254"/>
      <c r="L324" s="255"/>
      <c r="M324" s="217"/>
      <c r="N324" s="250"/>
      <c r="O324" s="251"/>
      <c r="P324" s="145"/>
      <c r="Q324" s="150"/>
      <c r="R324" s="150"/>
      <c r="S324" s="150"/>
      <c r="T324" s="150"/>
      <c r="U324" s="150"/>
      <c r="V324" s="150"/>
      <c r="W324" s="150"/>
      <c r="X324" s="150"/>
      <c r="Y324" s="150"/>
    </row>
    <row r="325" spans="2:25" ht="14.5" x14ac:dyDescent="0.35">
      <c r="B325" s="203">
        <f t="shared" si="9"/>
        <v>313</v>
      </c>
      <c r="C325" s="204">
        <f t="shared" si="6"/>
        <v>0</v>
      </c>
      <c r="D325" s="204" t="str">
        <f t="shared" si="7"/>
        <v/>
      </c>
      <c r="E325" s="203" t="str">
        <f t="shared" si="8"/>
        <v/>
      </c>
      <c r="F325" s="228"/>
      <c r="G325" s="206"/>
      <c r="H325" s="242"/>
      <c r="I325" s="247"/>
      <c r="J325" s="253"/>
      <c r="K325" s="254"/>
      <c r="L325" s="255"/>
      <c r="M325" s="217"/>
      <c r="N325" s="250"/>
      <c r="O325" s="251"/>
      <c r="P325" s="145"/>
      <c r="Q325" s="150"/>
      <c r="R325" s="150"/>
      <c r="S325" s="150"/>
      <c r="T325" s="150"/>
      <c r="U325" s="150"/>
      <c r="V325" s="150"/>
      <c r="W325" s="150"/>
      <c r="X325" s="150"/>
      <c r="Y325" s="150"/>
    </row>
    <row r="326" spans="2:25" ht="14.5" x14ac:dyDescent="0.35">
      <c r="B326" s="203">
        <f t="shared" si="9"/>
        <v>314</v>
      </c>
      <c r="C326" s="204">
        <f t="shared" si="6"/>
        <v>0</v>
      </c>
      <c r="D326" s="204" t="str">
        <f t="shared" si="7"/>
        <v/>
      </c>
      <c r="E326" s="203" t="str">
        <f t="shared" si="8"/>
        <v/>
      </c>
      <c r="F326" s="228"/>
      <c r="G326" s="206"/>
      <c r="H326" s="242"/>
      <c r="I326" s="247"/>
      <c r="J326" s="253"/>
      <c r="K326" s="254"/>
      <c r="L326" s="255"/>
      <c r="M326" s="217"/>
      <c r="N326" s="250"/>
      <c r="O326" s="251"/>
      <c r="P326" s="145"/>
      <c r="Q326" s="150"/>
      <c r="R326" s="150"/>
      <c r="S326" s="150"/>
      <c r="T326" s="150"/>
      <c r="U326" s="150"/>
      <c r="V326" s="150"/>
      <c r="W326" s="150"/>
      <c r="X326" s="150"/>
      <c r="Y326" s="150"/>
    </row>
    <row r="327" spans="2:25" ht="14.5" x14ac:dyDescent="0.35">
      <c r="B327" s="203">
        <f t="shared" si="9"/>
        <v>315</v>
      </c>
      <c r="C327" s="204">
        <f t="shared" si="6"/>
        <v>0</v>
      </c>
      <c r="D327" s="204" t="str">
        <f t="shared" si="7"/>
        <v/>
      </c>
      <c r="E327" s="203" t="str">
        <f t="shared" si="8"/>
        <v/>
      </c>
      <c r="F327" s="228"/>
      <c r="G327" s="206"/>
      <c r="H327" s="242"/>
      <c r="I327" s="247"/>
      <c r="J327" s="253"/>
      <c r="K327" s="254"/>
      <c r="L327" s="255"/>
      <c r="M327" s="217"/>
      <c r="N327" s="250"/>
      <c r="O327" s="251"/>
      <c r="P327" s="145"/>
      <c r="Q327" s="150"/>
      <c r="R327" s="150"/>
      <c r="S327" s="150"/>
      <c r="T327" s="150"/>
      <c r="U327" s="150"/>
      <c r="V327" s="150"/>
      <c r="W327" s="150"/>
      <c r="X327" s="150"/>
      <c r="Y327" s="150"/>
    </row>
    <row r="328" spans="2:25" ht="14.5" x14ac:dyDescent="0.35">
      <c r="B328" s="203">
        <f t="shared" si="9"/>
        <v>316</v>
      </c>
      <c r="C328" s="204">
        <f t="shared" si="6"/>
        <v>0</v>
      </c>
      <c r="D328" s="204" t="str">
        <f t="shared" si="7"/>
        <v/>
      </c>
      <c r="E328" s="203" t="str">
        <f t="shared" si="8"/>
        <v/>
      </c>
      <c r="F328" s="228"/>
      <c r="G328" s="206"/>
      <c r="H328" s="242"/>
      <c r="I328" s="247"/>
      <c r="J328" s="253"/>
      <c r="K328" s="254"/>
      <c r="L328" s="255"/>
      <c r="M328" s="217"/>
      <c r="N328" s="250"/>
      <c r="O328" s="251"/>
      <c r="P328" s="145"/>
      <c r="Q328" s="150"/>
      <c r="R328" s="150"/>
      <c r="S328" s="150"/>
      <c r="T328" s="150"/>
      <c r="U328" s="150"/>
      <c r="V328" s="150"/>
      <c r="W328" s="150"/>
      <c r="X328" s="150"/>
      <c r="Y328" s="150"/>
    </row>
    <row r="329" spans="2:25" ht="14.5" x14ac:dyDescent="0.35">
      <c r="B329" s="203">
        <f t="shared" si="9"/>
        <v>317</v>
      </c>
      <c r="C329" s="204">
        <f t="shared" si="6"/>
        <v>0</v>
      </c>
      <c r="D329" s="204" t="str">
        <f t="shared" si="7"/>
        <v/>
      </c>
      <c r="E329" s="203" t="str">
        <f t="shared" si="8"/>
        <v/>
      </c>
      <c r="F329" s="228"/>
      <c r="G329" s="206"/>
      <c r="H329" s="242"/>
      <c r="I329" s="247"/>
      <c r="J329" s="253"/>
      <c r="K329" s="254"/>
      <c r="L329" s="255"/>
      <c r="M329" s="217"/>
      <c r="N329" s="250"/>
      <c r="O329" s="251"/>
      <c r="P329" s="145"/>
      <c r="Q329" s="150"/>
      <c r="R329" s="150"/>
      <c r="S329" s="150"/>
      <c r="T329" s="150"/>
      <c r="U329" s="150"/>
      <c r="V329" s="150"/>
      <c r="W329" s="150"/>
      <c r="X329" s="150"/>
      <c r="Y329" s="150"/>
    </row>
    <row r="330" spans="2:25" ht="14.5" x14ac:dyDescent="0.35">
      <c r="B330" s="203">
        <f t="shared" si="9"/>
        <v>318</v>
      </c>
      <c r="C330" s="204">
        <f t="shared" si="6"/>
        <v>0</v>
      </c>
      <c r="D330" s="204" t="str">
        <f t="shared" si="7"/>
        <v/>
      </c>
      <c r="E330" s="203" t="str">
        <f t="shared" si="8"/>
        <v/>
      </c>
      <c r="F330" s="228"/>
      <c r="G330" s="206"/>
      <c r="H330" s="242"/>
      <c r="I330" s="247"/>
      <c r="J330" s="253"/>
      <c r="K330" s="254"/>
      <c r="L330" s="255"/>
      <c r="M330" s="217"/>
      <c r="N330" s="250"/>
      <c r="O330" s="251"/>
      <c r="P330" s="145"/>
      <c r="Q330" s="150"/>
      <c r="R330" s="150"/>
      <c r="S330" s="150"/>
      <c r="T330" s="150"/>
      <c r="U330" s="150"/>
      <c r="V330" s="150"/>
      <c r="W330" s="150"/>
      <c r="X330" s="150"/>
      <c r="Y330" s="150"/>
    </row>
    <row r="331" spans="2:25" ht="14.5" x14ac:dyDescent="0.35">
      <c r="B331" s="203">
        <f t="shared" si="9"/>
        <v>319</v>
      </c>
      <c r="C331" s="204">
        <f t="shared" si="6"/>
        <v>0</v>
      </c>
      <c r="D331" s="204" t="str">
        <f t="shared" si="7"/>
        <v/>
      </c>
      <c r="E331" s="203" t="str">
        <f t="shared" si="8"/>
        <v/>
      </c>
      <c r="F331" s="228"/>
      <c r="G331" s="206"/>
      <c r="H331" s="242"/>
      <c r="I331" s="247"/>
      <c r="J331" s="253"/>
      <c r="K331" s="254"/>
      <c r="L331" s="255"/>
      <c r="M331" s="217"/>
      <c r="N331" s="250"/>
      <c r="O331" s="251"/>
      <c r="P331" s="145"/>
      <c r="Q331" s="150"/>
      <c r="R331" s="150"/>
      <c r="S331" s="150"/>
      <c r="T331" s="150"/>
      <c r="U331" s="150"/>
      <c r="V331" s="150"/>
      <c r="W331" s="150"/>
      <c r="X331" s="150"/>
      <c r="Y331" s="150"/>
    </row>
    <row r="332" spans="2:25" ht="14.5" x14ac:dyDescent="0.35">
      <c r="B332" s="203">
        <f t="shared" si="9"/>
        <v>320</v>
      </c>
      <c r="C332" s="204">
        <f t="shared" si="6"/>
        <v>0</v>
      </c>
      <c r="D332" s="204" t="str">
        <f t="shared" si="7"/>
        <v/>
      </c>
      <c r="E332" s="203" t="str">
        <f t="shared" si="8"/>
        <v/>
      </c>
      <c r="F332" s="228"/>
      <c r="G332" s="206"/>
      <c r="H332" s="242"/>
      <c r="I332" s="247"/>
      <c r="J332" s="253"/>
      <c r="K332" s="254"/>
      <c r="L332" s="255"/>
      <c r="M332" s="217"/>
      <c r="N332" s="250"/>
      <c r="O332" s="251"/>
      <c r="P332" s="145"/>
      <c r="Q332" s="150"/>
      <c r="R332" s="150"/>
      <c r="S332" s="150"/>
      <c r="T332" s="150"/>
      <c r="U332" s="150"/>
      <c r="V332" s="150"/>
      <c r="W332" s="150"/>
      <c r="X332" s="150"/>
      <c r="Y332" s="150"/>
    </row>
    <row r="333" spans="2:25" ht="14.5" x14ac:dyDescent="0.35">
      <c r="B333" s="203">
        <f t="shared" si="9"/>
        <v>321</v>
      </c>
      <c r="C333" s="204">
        <f t="shared" ref="C333:C396" si="10">IFERROR(DAY(F333),0)</f>
        <v>0</v>
      </c>
      <c r="D333" s="204" t="str">
        <f t="shared" ref="D333:D396" si="11">IFERROR(IF(F333="","",TEXT(DATE(0,MONTH(F333),1),"MMM")),"date issue")</f>
        <v/>
      </c>
      <c r="E333" s="203" t="str">
        <f t="shared" ref="E333:E396" si="12">IFERROR(IF(OR(C333=1,C333=2,C333=3,C333=4,C333=5,C333=6,C333=7),1,IF(OR(C333=8,C333=9,C333=10,C333=11,C333=12,C333=13,C333=14),2,IF(OR(C333=15,C333=16,C333=17,C333=18,C333=19,C333=20,C333=21),3,IF(OR(C333=22,C333=23,C333=24,C333=25,C333=26,C333=27,C333=28),4,IF(OR(C333=29,C333=30,C333=31),5,""))))),0)</f>
        <v/>
      </c>
      <c r="F333" s="228"/>
      <c r="G333" s="206"/>
      <c r="H333" s="242"/>
      <c r="I333" s="247"/>
      <c r="J333" s="253"/>
      <c r="K333" s="254"/>
      <c r="L333" s="255"/>
      <c r="M333" s="217"/>
      <c r="N333" s="250"/>
      <c r="O333" s="251"/>
      <c r="P333" s="145"/>
      <c r="Q333" s="150"/>
      <c r="R333" s="150"/>
      <c r="S333" s="150"/>
      <c r="T333" s="150"/>
      <c r="U333" s="150"/>
      <c r="V333" s="150"/>
      <c r="W333" s="150"/>
      <c r="X333" s="150"/>
      <c r="Y333" s="150"/>
    </row>
    <row r="334" spans="2:25" ht="14.5" x14ac:dyDescent="0.35">
      <c r="B334" s="203">
        <f t="shared" si="9"/>
        <v>322</v>
      </c>
      <c r="C334" s="204">
        <f t="shared" si="10"/>
        <v>0</v>
      </c>
      <c r="D334" s="204" t="str">
        <f t="shared" si="11"/>
        <v/>
      </c>
      <c r="E334" s="203" t="str">
        <f t="shared" si="12"/>
        <v/>
      </c>
      <c r="F334" s="228"/>
      <c r="G334" s="206"/>
      <c r="H334" s="242"/>
      <c r="I334" s="247"/>
      <c r="J334" s="253"/>
      <c r="K334" s="254"/>
      <c r="L334" s="255"/>
      <c r="M334" s="217"/>
      <c r="N334" s="250"/>
      <c r="O334" s="251"/>
      <c r="P334" s="145"/>
      <c r="Q334" s="150"/>
      <c r="R334" s="150"/>
      <c r="S334" s="150"/>
      <c r="T334" s="150"/>
      <c r="U334" s="150"/>
      <c r="V334" s="150"/>
      <c r="W334" s="150"/>
      <c r="X334" s="150"/>
      <c r="Y334" s="150"/>
    </row>
    <row r="335" spans="2:25" ht="14.5" x14ac:dyDescent="0.35">
      <c r="B335" s="203">
        <f t="shared" si="9"/>
        <v>323</v>
      </c>
      <c r="C335" s="204">
        <f t="shared" si="10"/>
        <v>0</v>
      </c>
      <c r="D335" s="204" t="str">
        <f t="shared" si="11"/>
        <v/>
      </c>
      <c r="E335" s="203" t="str">
        <f t="shared" si="12"/>
        <v/>
      </c>
      <c r="F335" s="228"/>
      <c r="G335" s="206"/>
      <c r="H335" s="242"/>
      <c r="I335" s="247"/>
      <c r="J335" s="253"/>
      <c r="K335" s="254"/>
      <c r="L335" s="255"/>
      <c r="M335" s="217"/>
      <c r="N335" s="250"/>
      <c r="O335" s="251"/>
      <c r="P335" s="145"/>
      <c r="Q335" s="150"/>
      <c r="R335" s="150"/>
      <c r="S335" s="150"/>
      <c r="T335" s="150"/>
      <c r="U335" s="150"/>
      <c r="V335" s="150"/>
      <c r="W335" s="150"/>
      <c r="X335" s="150"/>
      <c r="Y335" s="150"/>
    </row>
    <row r="336" spans="2:25" ht="14.5" x14ac:dyDescent="0.35">
      <c r="B336" s="203">
        <f t="shared" si="9"/>
        <v>324</v>
      </c>
      <c r="C336" s="204">
        <f t="shared" si="10"/>
        <v>0</v>
      </c>
      <c r="D336" s="204" t="str">
        <f t="shared" si="11"/>
        <v/>
      </c>
      <c r="E336" s="203" t="str">
        <f t="shared" si="12"/>
        <v/>
      </c>
      <c r="F336" s="228"/>
      <c r="G336" s="206"/>
      <c r="H336" s="242"/>
      <c r="I336" s="247"/>
      <c r="J336" s="253"/>
      <c r="K336" s="254"/>
      <c r="L336" s="255"/>
      <c r="M336" s="217"/>
      <c r="N336" s="250"/>
      <c r="O336" s="251"/>
      <c r="P336" s="145"/>
      <c r="Q336" s="150"/>
      <c r="R336" s="150"/>
      <c r="S336" s="150"/>
      <c r="T336" s="150"/>
      <c r="U336" s="150"/>
      <c r="V336" s="150"/>
      <c r="W336" s="150"/>
      <c r="X336" s="150"/>
      <c r="Y336" s="150"/>
    </row>
    <row r="337" spans="2:25" ht="14.5" x14ac:dyDescent="0.35">
      <c r="B337" s="203">
        <f t="shared" si="9"/>
        <v>325</v>
      </c>
      <c r="C337" s="204">
        <f t="shared" si="10"/>
        <v>0</v>
      </c>
      <c r="D337" s="204" t="str">
        <f t="shared" si="11"/>
        <v/>
      </c>
      <c r="E337" s="203" t="str">
        <f t="shared" si="12"/>
        <v/>
      </c>
      <c r="G337" s="206"/>
      <c r="H337" s="242"/>
      <c r="I337" s="247"/>
      <c r="J337" s="253"/>
      <c r="K337" s="254"/>
      <c r="L337" s="255"/>
      <c r="M337" s="217"/>
      <c r="N337" s="250"/>
      <c r="O337" s="251"/>
      <c r="P337" s="145"/>
      <c r="Q337" s="150"/>
      <c r="R337" s="150"/>
      <c r="S337" s="150"/>
      <c r="T337" s="150"/>
      <c r="U337" s="150"/>
      <c r="V337" s="150"/>
      <c r="W337" s="150"/>
      <c r="X337" s="150"/>
      <c r="Y337" s="150"/>
    </row>
    <row r="338" spans="2:25" ht="14.5" x14ac:dyDescent="0.35">
      <c r="B338" s="203">
        <f t="shared" si="9"/>
        <v>326</v>
      </c>
      <c r="C338" s="204">
        <f t="shared" si="10"/>
        <v>0</v>
      </c>
      <c r="D338" s="204" t="str">
        <f t="shared" si="11"/>
        <v/>
      </c>
      <c r="E338" s="203" t="str">
        <f t="shared" si="12"/>
        <v/>
      </c>
      <c r="F338" s="228"/>
      <c r="G338" s="206"/>
      <c r="H338" s="242"/>
      <c r="I338" s="247"/>
      <c r="J338" s="253"/>
      <c r="K338" s="254"/>
      <c r="L338" s="255"/>
      <c r="M338" s="217"/>
      <c r="N338" s="250"/>
      <c r="O338" s="251"/>
      <c r="P338" s="145"/>
      <c r="Q338" s="150"/>
      <c r="R338" s="150"/>
      <c r="S338" s="150"/>
      <c r="T338" s="150"/>
      <c r="U338" s="150"/>
      <c r="V338" s="150"/>
      <c r="W338" s="150"/>
      <c r="X338" s="150"/>
      <c r="Y338" s="150"/>
    </row>
    <row r="339" spans="2:25" ht="14.5" x14ac:dyDescent="0.35">
      <c r="B339" s="203">
        <f t="shared" si="9"/>
        <v>327</v>
      </c>
      <c r="C339" s="204">
        <f t="shared" si="10"/>
        <v>0</v>
      </c>
      <c r="D339" s="204" t="str">
        <f t="shared" si="11"/>
        <v/>
      </c>
      <c r="E339" s="203" t="str">
        <f t="shared" si="12"/>
        <v/>
      </c>
      <c r="F339" s="228"/>
      <c r="G339" s="206"/>
      <c r="H339" s="242"/>
      <c r="I339" s="247"/>
      <c r="J339" s="253"/>
      <c r="K339" s="254"/>
      <c r="L339" s="255"/>
      <c r="M339" s="217"/>
      <c r="N339" s="250"/>
      <c r="O339" s="251"/>
      <c r="P339" s="145"/>
      <c r="Q339" s="150"/>
      <c r="R339" s="150"/>
      <c r="S339" s="150"/>
      <c r="T339" s="150"/>
      <c r="U339" s="150"/>
      <c r="V339" s="150"/>
      <c r="W339" s="150"/>
      <c r="X339" s="150"/>
      <c r="Y339" s="150"/>
    </row>
    <row r="340" spans="2:25" ht="14.5" x14ac:dyDescent="0.35">
      <c r="B340" s="203">
        <f t="shared" si="9"/>
        <v>328</v>
      </c>
      <c r="C340" s="204">
        <f t="shared" si="10"/>
        <v>0</v>
      </c>
      <c r="D340" s="204" t="str">
        <f t="shared" si="11"/>
        <v/>
      </c>
      <c r="E340" s="203" t="str">
        <f t="shared" si="12"/>
        <v/>
      </c>
      <c r="F340" s="228"/>
      <c r="G340" s="206"/>
      <c r="H340" s="242"/>
      <c r="I340" s="247"/>
      <c r="J340" s="253"/>
      <c r="K340" s="254"/>
      <c r="L340" s="255"/>
      <c r="M340" s="217"/>
      <c r="N340" s="250"/>
      <c r="O340" s="251"/>
      <c r="P340" s="145"/>
      <c r="Q340" s="150"/>
      <c r="R340" s="150"/>
      <c r="S340" s="150"/>
      <c r="T340" s="150"/>
      <c r="U340" s="150"/>
      <c r="V340" s="150"/>
      <c r="W340" s="150"/>
      <c r="X340" s="150"/>
      <c r="Y340" s="150"/>
    </row>
    <row r="341" spans="2:25" ht="14.5" x14ac:dyDescent="0.35">
      <c r="B341" s="203">
        <f t="shared" si="9"/>
        <v>329</v>
      </c>
      <c r="C341" s="204">
        <f t="shared" si="10"/>
        <v>0</v>
      </c>
      <c r="D341" s="204" t="str">
        <f t="shared" si="11"/>
        <v/>
      </c>
      <c r="E341" s="203" t="str">
        <f t="shared" si="12"/>
        <v/>
      </c>
      <c r="F341" s="228"/>
      <c r="G341" s="206"/>
      <c r="H341" s="242"/>
      <c r="I341" s="247"/>
      <c r="J341" s="253"/>
      <c r="K341" s="254"/>
      <c r="L341" s="255"/>
      <c r="M341" s="217"/>
      <c r="N341" s="250"/>
      <c r="O341" s="251"/>
      <c r="P341" s="145"/>
      <c r="Q341" s="150"/>
      <c r="R341" s="150"/>
      <c r="S341" s="150"/>
      <c r="T341" s="150"/>
      <c r="U341" s="150"/>
      <c r="V341" s="150"/>
      <c r="W341" s="150"/>
      <c r="X341" s="150"/>
      <c r="Y341" s="150"/>
    </row>
    <row r="342" spans="2:25" ht="14.5" x14ac:dyDescent="0.35">
      <c r="B342" s="203">
        <f t="shared" si="9"/>
        <v>330</v>
      </c>
      <c r="C342" s="204">
        <f t="shared" si="10"/>
        <v>0</v>
      </c>
      <c r="D342" s="204" t="str">
        <f t="shared" si="11"/>
        <v/>
      </c>
      <c r="E342" s="203" t="str">
        <f t="shared" si="12"/>
        <v/>
      </c>
      <c r="F342" s="228"/>
      <c r="G342" s="206"/>
      <c r="H342" s="242"/>
      <c r="I342" s="247"/>
      <c r="J342" s="253"/>
      <c r="K342" s="254"/>
      <c r="L342" s="255"/>
      <c r="M342" s="217"/>
      <c r="N342" s="250"/>
      <c r="O342" s="251"/>
      <c r="P342" s="145"/>
      <c r="Q342" s="150"/>
      <c r="R342" s="150"/>
      <c r="S342" s="150"/>
      <c r="T342" s="150"/>
      <c r="U342" s="150"/>
      <c r="V342" s="150"/>
      <c r="W342" s="150"/>
      <c r="X342" s="150"/>
      <c r="Y342" s="150"/>
    </row>
    <row r="343" spans="2:25" ht="14.5" x14ac:dyDescent="0.35">
      <c r="B343" s="203">
        <f t="shared" ref="B343:B406" si="13">B342+1</f>
        <v>331</v>
      </c>
      <c r="C343" s="204">
        <f t="shared" si="10"/>
        <v>0</v>
      </c>
      <c r="D343" s="204" t="str">
        <f t="shared" si="11"/>
        <v/>
      </c>
      <c r="E343" s="203" t="str">
        <f t="shared" si="12"/>
        <v/>
      </c>
      <c r="F343" s="228"/>
      <c r="G343" s="206"/>
      <c r="H343" s="242"/>
      <c r="I343" s="247"/>
      <c r="J343" s="253"/>
      <c r="K343" s="254"/>
      <c r="L343" s="255"/>
      <c r="M343" s="217"/>
      <c r="N343" s="250"/>
      <c r="O343" s="251"/>
      <c r="P343" s="145"/>
      <c r="Q343" s="150"/>
      <c r="R343" s="150"/>
      <c r="S343" s="150"/>
      <c r="T343" s="150"/>
      <c r="U343" s="150"/>
      <c r="V343" s="150"/>
      <c r="W343" s="150"/>
      <c r="X343" s="150"/>
      <c r="Y343" s="150"/>
    </row>
    <row r="344" spans="2:25" ht="14.5" x14ac:dyDescent="0.35">
      <c r="B344" s="203">
        <f t="shared" si="13"/>
        <v>332</v>
      </c>
      <c r="C344" s="204">
        <f t="shared" si="10"/>
        <v>0</v>
      </c>
      <c r="D344" s="204" t="str">
        <f t="shared" si="11"/>
        <v/>
      </c>
      <c r="E344" s="203" t="str">
        <f t="shared" si="12"/>
        <v/>
      </c>
      <c r="F344" s="228"/>
      <c r="G344" s="206"/>
      <c r="H344" s="242"/>
      <c r="I344" s="247"/>
      <c r="J344" s="253"/>
      <c r="K344" s="254"/>
      <c r="L344" s="255"/>
      <c r="M344" s="217"/>
      <c r="N344" s="250"/>
      <c r="O344" s="251"/>
      <c r="P344" s="145"/>
      <c r="Q344" s="150"/>
      <c r="R344" s="150"/>
      <c r="S344" s="150"/>
      <c r="T344" s="150"/>
      <c r="U344" s="150"/>
      <c r="V344" s="150"/>
      <c r="W344" s="150"/>
      <c r="X344" s="150"/>
      <c r="Y344" s="150"/>
    </row>
    <row r="345" spans="2:25" ht="14.5" x14ac:dyDescent="0.35">
      <c r="B345" s="203">
        <f t="shared" si="13"/>
        <v>333</v>
      </c>
      <c r="C345" s="204">
        <f t="shared" si="10"/>
        <v>0</v>
      </c>
      <c r="D345" s="204" t="str">
        <f t="shared" si="11"/>
        <v/>
      </c>
      <c r="E345" s="203" t="str">
        <f t="shared" si="12"/>
        <v/>
      </c>
      <c r="F345" s="228"/>
      <c r="G345" s="206"/>
      <c r="H345" s="242"/>
      <c r="I345" s="247"/>
      <c r="J345" s="253"/>
      <c r="K345" s="254"/>
      <c r="L345" s="255"/>
      <c r="M345" s="217"/>
      <c r="N345" s="250"/>
      <c r="O345" s="251"/>
      <c r="P345" s="145"/>
      <c r="Q345" s="150"/>
      <c r="R345" s="150"/>
      <c r="S345" s="150"/>
      <c r="T345" s="150"/>
      <c r="U345" s="150"/>
      <c r="V345" s="150"/>
      <c r="W345" s="150"/>
      <c r="X345" s="150"/>
      <c r="Y345" s="150"/>
    </row>
    <row r="346" spans="2:25" ht="14.5" x14ac:dyDescent="0.35">
      <c r="B346" s="203">
        <f t="shared" si="13"/>
        <v>334</v>
      </c>
      <c r="C346" s="204">
        <f t="shared" si="10"/>
        <v>0</v>
      </c>
      <c r="D346" s="204" t="str">
        <f t="shared" si="11"/>
        <v/>
      </c>
      <c r="E346" s="203" t="str">
        <f t="shared" si="12"/>
        <v/>
      </c>
      <c r="F346" s="228"/>
      <c r="G346" s="206"/>
      <c r="H346" s="242"/>
      <c r="I346" s="247"/>
      <c r="J346" s="253"/>
      <c r="K346" s="254"/>
      <c r="L346" s="255"/>
      <c r="M346" s="217"/>
      <c r="N346" s="250"/>
      <c r="O346" s="251"/>
      <c r="P346" s="145"/>
      <c r="Q346" s="150"/>
      <c r="R346" s="150"/>
      <c r="S346" s="150"/>
      <c r="T346" s="150"/>
      <c r="U346" s="150"/>
      <c r="V346" s="150"/>
      <c r="W346" s="150"/>
      <c r="X346" s="150"/>
      <c r="Y346" s="150"/>
    </row>
    <row r="347" spans="2:25" ht="14.5" x14ac:dyDescent="0.35">
      <c r="B347" s="203">
        <f t="shared" si="13"/>
        <v>335</v>
      </c>
      <c r="C347" s="204">
        <f t="shared" si="10"/>
        <v>0</v>
      </c>
      <c r="D347" s="204" t="str">
        <f t="shared" si="11"/>
        <v/>
      </c>
      <c r="E347" s="203" t="str">
        <f t="shared" si="12"/>
        <v/>
      </c>
      <c r="F347" s="228"/>
      <c r="G347" s="206"/>
      <c r="H347" s="242"/>
      <c r="I347" s="247"/>
      <c r="J347" s="253"/>
      <c r="K347" s="254"/>
      <c r="L347" s="255"/>
      <c r="M347" s="217"/>
      <c r="N347" s="250"/>
      <c r="O347" s="251"/>
      <c r="P347" s="145"/>
      <c r="Q347" s="150"/>
      <c r="R347" s="150"/>
      <c r="S347" s="150"/>
      <c r="T347" s="150"/>
      <c r="U347" s="150"/>
      <c r="V347" s="150"/>
      <c r="W347" s="150"/>
      <c r="X347" s="150"/>
      <c r="Y347" s="150"/>
    </row>
    <row r="348" spans="2:25" ht="14.5" x14ac:dyDescent="0.35">
      <c r="B348" s="203">
        <f t="shared" si="13"/>
        <v>336</v>
      </c>
      <c r="C348" s="204">
        <f t="shared" si="10"/>
        <v>0</v>
      </c>
      <c r="D348" s="204" t="str">
        <f t="shared" si="11"/>
        <v/>
      </c>
      <c r="E348" s="203" t="str">
        <f t="shared" si="12"/>
        <v/>
      </c>
      <c r="F348" s="228"/>
      <c r="G348" s="206"/>
      <c r="H348" s="242"/>
      <c r="I348" s="247"/>
      <c r="J348" s="253"/>
      <c r="K348" s="254"/>
      <c r="L348" s="255"/>
      <c r="M348" s="217"/>
      <c r="N348" s="250"/>
      <c r="O348" s="251"/>
      <c r="P348" s="145"/>
      <c r="Q348" s="150"/>
      <c r="R348" s="150"/>
      <c r="S348" s="150"/>
      <c r="T348" s="150"/>
      <c r="U348" s="150"/>
      <c r="V348" s="150"/>
      <c r="W348" s="150"/>
      <c r="X348" s="150"/>
      <c r="Y348" s="150"/>
    </row>
    <row r="349" spans="2:25" ht="14.5" x14ac:dyDescent="0.35">
      <c r="B349" s="203">
        <f t="shared" si="13"/>
        <v>337</v>
      </c>
      <c r="C349" s="204">
        <f t="shared" si="10"/>
        <v>0</v>
      </c>
      <c r="D349" s="204" t="str">
        <f t="shared" si="11"/>
        <v/>
      </c>
      <c r="E349" s="203" t="str">
        <f t="shared" si="12"/>
        <v/>
      </c>
      <c r="F349" s="228"/>
      <c r="G349" s="206"/>
      <c r="H349" s="242"/>
      <c r="I349" s="247"/>
      <c r="J349" s="253"/>
      <c r="K349" s="254"/>
      <c r="L349" s="255"/>
      <c r="M349" s="217"/>
      <c r="N349" s="250"/>
      <c r="O349" s="251"/>
      <c r="P349" s="145"/>
      <c r="Q349" s="150"/>
      <c r="R349" s="150"/>
      <c r="S349" s="150"/>
      <c r="T349" s="150"/>
      <c r="U349" s="150"/>
      <c r="V349" s="150"/>
      <c r="W349" s="150"/>
      <c r="X349" s="150"/>
      <c r="Y349" s="150"/>
    </row>
    <row r="350" spans="2:25" ht="14.5" x14ac:dyDescent="0.35">
      <c r="B350" s="203">
        <f t="shared" si="13"/>
        <v>338</v>
      </c>
      <c r="C350" s="204">
        <f t="shared" si="10"/>
        <v>0</v>
      </c>
      <c r="D350" s="204" t="str">
        <f t="shared" si="11"/>
        <v/>
      </c>
      <c r="E350" s="203" t="str">
        <f t="shared" si="12"/>
        <v/>
      </c>
      <c r="F350" s="228"/>
      <c r="G350" s="206"/>
      <c r="H350" s="242"/>
      <c r="I350" s="247"/>
      <c r="J350" s="253"/>
      <c r="K350" s="254"/>
      <c r="L350" s="255"/>
      <c r="M350" s="217"/>
      <c r="N350" s="250"/>
      <c r="O350" s="251"/>
      <c r="P350" s="145"/>
      <c r="Q350" s="150"/>
      <c r="R350" s="150"/>
      <c r="S350" s="150"/>
      <c r="T350" s="150"/>
      <c r="U350" s="150"/>
      <c r="V350" s="150"/>
      <c r="W350" s="150"/>
      <c r="X350" s="150"/>
      <c r="Y350" s="150"/>
    </row>
    <row r="351" spans="2:25" ht="14.5" x14ac:dyDescent="0.35">
      <c r="B351" s="203">
        <f t="shared" si="13"/>
        <v>339</v>
      </c>
      <c r="C351" s="204">
        <f t="shared" si="10"/>
        <v>0</v>
      </c>
      <c r="D351" s="204" t="str">
        <f t="shared" si="11"/>
        <v/>
      </c>
      <c r="E351" s="203" t="str">
        <f t="shared" si="12"/>
        <v/>
      </c>
      <c r="F351" s="228"/>
      <c r="G351" s="206"/>
      <c r="H351" s="242"/>
      <c r="I351" s="247"/>
      <c r="J351" s="253"/>
      <c r="K351" s="254"/>
      <c r="L351" s="255"/>
      <c r="M351" s="217"/>
      <c r="N351" s="250"/>
      <c r="O351" s="251"/>
      <c r="P351" s="145"/>
      <c r="Q351" s="150"/>
      <c r="R351" s="150"/>
      <c r="S351" s="150"/>
      <c r="T351" s="150"/>
      <c r="U351" s="150"/>
      <c r="V351" s="150"/>
      <c r="W351" s="150"/>
      <c r="X351" s="150"/>
      <c r="Y351" s="150"/>
    </row>
    <row r="352" spans="2:25" ht="14.5" x14ac:dyDescent="0.35">
      <c r="B352" s="203">
        <f t="shared" si="13"/>
        <v>340</v>
      </c>
      <c r="C352" s="204">
        <f t="shared" si="10"/>
        <v>0</v>
      </c>
      <c r="D352" s="204" t="str">
        <f t="shared" si="11"/>
        <v/>
      </c>
      <c r="E352" s="203" t="str">
        <f t="shared" si="12"/>
        <v/>
      </c>
      <c r="F352" s="228"/>
      <c r="G352" s="206"/>
      <c r="H352" s="242"/>
      <c r="I352" s="247"/>
      <c r="J352" s="253"/>
      <c r="K352" s="254"/>
      <c r="L352" s="255"/>
      <c r="M352" s="217"/>
      <c r="N352" s="250"/>
      <c r="O352" s="251"/>
      <c r="P352" s="145"/>
      <c r="Q352" s="150"/>
      <c r="R352" s="150"/>
      <c r="S352" s="150"/>
      <c r="T352" s="150"/>
      <c r="U352" s="150"/>
      <c r="V352" s="150"/>
      <c r="W352" s="150"/>
      <c r="X352" s="150"/>
      <c r="Y352" s="150"/>
    </row>
    <row r="353" spans="2:25" ht="14.5" x14ac:dyDescent="0.35">
      <c r="B353" s="203">
        <f t="shared" si="13"/>
        <v>341</v>
      </c>
      <c r="C353" s="204">
        <f t="shared" si="10"/>
        <v>0</v>
      </c>
      <c r="D353" s="204" t="str">
        <f t="shared" si="11"/>
        <v/>
      </c>
      <c r="E353" s="203" t="str">
        <f t="shared" si="12"/>
        <v/>
      </c>
      <c r="F353" s="228"/>
      <c r="G353" s="206"/>
      <c r="H353" s="242"/>
      <c r="I353" s="247"/>
      <c r="J353" s="253"/>
      <c r="K353" s="254"/>
      <c r="L353" s="255"/>
      <c r="M353" s="217"/>
      <c r="N353" s="250"/>
      <c r="O353" s="251"/>
      <c r="P353" s="145"/>
      <c r="Q353" s="150"/>
      <c r="R353" s="150"/>
      <c r="S353" s="150"/>
      <c r="T353" s="150"/>
      <c r="U353" s="150"/>
      <c r="V353" s="150"/>
      <c r="W353" s="150"/>
      <c r="X353" s="150"/>
      <c r="Y353" s="150"/>
    </row>
    <row r="354" spans="2:25" ht="14.5" x14ac:dyDescent="0.35">
      <c r="B354" s="203">
        <f t="shared" si="13"/>
        <v>342</v>
      </c>
      <c r="C354" s="204">
        <f t="shared" si="10"/>
        <v>0</v>
      </c>
      <c r="D354" s="204" t="str">
        <f t="shared" si="11"/>
        <v/>
      </c>
      <c r="E354" s="203" t="str">
        <f t="shared" si="12"/>
        <v/>
      </c>
      <c r="F354" s="228"/>
      <c r="G354" s="206"/>
      <c r="H354" s="242"/>
      <c r="I354" s="247"/>
      <c r="J354" s="253"/>
      <c r="K354" s="254"/>
      <c r="L354" s="255"/>
      <c r="M354" s="217"/>
      <c r="N354" s="250"/>
      <c r="O354" s="251"/>
      <c r="P354" s="145"/>
      <c r="Q354" s="150"/>
      <c r="R354" s="150"/>
      <c r="S354" s="150"/>
      <c r="T354" s="150"/>
      <c r="U354" s="150"/>
      <c r="V354" s="150"/>
      <c r="W354" s="150"/>
      <c r="X354" s="150"/>
      <c r="Y354" s="150"/>
    </row>
    <row r="355" spans="2:25" ht="14.5" x14ac:dyDescent="0.35">
      <c r="B355" s="203">
        <f t="shared" si="13"/>
        <v>343</v>
      </c>
      <c r="C355" s="204">
        <f t="shared" si="10"/>
        <v>0</v>
      </c>
      <c r="D355" s="204" t="str">
        <f t="shared" si="11"/>
        <v/>
      </c>
      <c r="E355" s="203" t="str">
        <f t="shared" si="12"/>
        <v/>
      </c>
      <c r="F355" s="228"/>
      <c r="G355" s="206"/>
      <c r="H355" s="242"/>
      <c r="I355" s="247"/>
      <c r="J355" s="253"/>
      <c r="K355" s="254"/>
      <c r="L355" s="255"/>
      <c r="M355" s="217"/>
      <c r="N355" s="250"/>
      <c r="O355" s="251"/>
      <c r="P355" s="145"/>
      <c r="Q355" s="150"/>
      <c r="R355" s="150"/>
      <c r="S355" s="150"/>
      <c r="T355" s="150"/>
      <c r="U355" s="150"/>
      <c r="V355" s="150"/>
      <c r="W355" s="150"/>
      <c r="X355" s="150"/>
      <c r="Y355" s="150"/>
    </row>
    <row r="356" spans="2:25" ht="14.5" x14ac:dyDescent="0.35">
      <c r="B356" s="203">
        <f t="shared" si="13"/>
        <v>344</v>
      </c>
      <c r="C356" s="204">
        <f t="shared" si="10"/>
        <v>0</v>
      </c>
      <c r="D356" s="204" t="str">
        <f t="shared" si="11"/>
        <v/>
      </c>
      <c r="E356" s="203" t="str">
        <f t="shared" si="12"/>
        <v/>
      </c>
      <c r="F356" s="228"/>
      <c r="G356" s="206"/>
      <c r="H356" s="242"/>
      <c r="I356" s="247"/>
      <c r="J356" s="253"/>
      <c r="K356" s="254"/>
      <c r="L356" s="255"/>
      <c r="M356" s="217"/>
      <c r="N356" s="250"/>
      <c r="O356" s="251"/>
      <c r="P356" s="145"/>
      <c r="Q356" s="150"/>
      <c r="R356" s="150"/>
      <c r="S356" s="150"/>
      <c r="T356" s="150"/>
      <c r="U356" s="150"/>
      <c r="V356" s="150"/>
      <c r="W356" s="150"/>
      <c r="X356" s="150"/>
      <c r="Y356" s="150"/>
    </row>
    <row r="357" spans="2:25" ht="14.5" x14ac:dyDescent="0.35">
      <c r="B357" s="203">
        <f t="shared" si="13"/>
        <v>345</v>
      </c>
      <c r="C357" s="204">
        <f t="shared" si="10"/>
        <v>0</v>
      </c>
      <c r="D357" s="204" t="str">
        <f t="shared" si="11"/>
        <v/>
      </c>
      <c r="E357" s="203" t="str">
        <f t="shared" si="12"/>
        <v/>
      </c>
      <c r="F357" s="228"/>
      <c r="G357" s="206"/>
      <c r="H357" s="242"/>
      <c r="I357" s="247"/>
      <c r="J357" s="253"/>
      <c r="K357" s="254"/>
      <c r="L357" s="255"/>
      <c r="M357" s="217"/>
      <c r="N357" s="250"/>
      <c r="O357" s="251"/>
      <c r="P357" s="145"/>
      <c r="Q357" s="150"/>
      <c r="R357" s="150"/>
      <c r="S357" s="150"/>
      <c r="T357" s="150"/>
      <c r="U357" s="150"/>
      <c r="V357" s="150"/>
      <c r="W357" s="150"/>
      <c r="X357" s="150"/>
      <c r="Y357" s="150"/>
    </row>
    <row r="358" spans="2:25" ht="14.5" x14ac:dyDescent="0.35">
      <c r="B358" s="203">
        <f t="shared" si="13"/>
        <v>346</v>
      </c>
      <c r="C358" s="204">
        <f t="shared" si="10"/>
        <v>0</v>
      </c>
      <c r="D358" s="204" t="str">
        <f t="shared" si="11"/>
        <v/>
      </c>
      <c r="E358" s="203" t="str">
        <f t="shared" si="12"/>
        <v/>
      </c>
      <c r="F358" s="228"/>
      <c r="G358" s="206"/>
      <c r="H358" s="242"/>
      <c r="I358" s="247"/>
      <c r="J358" s="253"/>
      <c r="K358" s="254"/>
      <c r="L358" s="255"/>
      <c r="M358" s="217"/>
      <c r="N358" s="250"/>
      <c r="O358" s="251"/>
      <c r="P358" s="145"/>
      <c r="Q358" s="150"/>
      <c r="R358" s="150"/>
      <c r="S358" s="150"/>
      <c r="T358" s="150"/>
      <c r="U358" s="150"/>
      <c r="V358" s="150"/>
      <c r="W358" s="150"/>
      <c r="X358" s="150"/>
      <c r="Y358" s="150"/>
    </row>
    <row r="359" spans="2:25" ht="14.5" x14ac:dyDescent="0.35">
      <c r="B359" s="203">
        <f t="shared" si="13"/>
        <v>347</v>
      </c>
      <c r="C359" s="204">
        <f t="shared" si="10"/>
        <v>0</v>
      </c>
      <c r="D359" s="204" t="str">
        <f t="shared" si="11"/>
        <v/>
      </c>
      <c r="E359" s="203" t="str">
        <f t="shared" si="12"/>
        <v/>
      </c>
      <c r="F359" s="228"/>
      <c r="G359" s="206"/>
      <c r="H359" s="242"/>
      <c r="I359" s="247"/>
      <c r="J359" s="253"/>
      <c r="K359" s="254"/>
      <c r="L359" s="255"/>
      <c r="M359" s="217"/>
      <c r="N359" s="250"/>
      <c r="O359" s="251"/>
      <c r="P359" s="145"/>
      <c r="Q359" s="150"/>
      <c r="R359" s="150"/>
      <c r="S359" s="150"/>
      <c r="T359" s="150"/>
      <c r="U359" s="150"/>
      <c r="V359" s="150"/>
      <c r="W359" s="150"/>
      <c r="X359" s="150"/>
      <c r="Y359" s="150"/>
    </row>
    <row r="360" spans="2:25" ht="14.5" x14ac:dyDescent="0.35">
      <c r="B360" s="203">
        <f t="shared" si="13"/>
        <v>348</v>
      </c>
      <c r="C360" s="204">
        <f t="shared" si="10"/>
        <v>0</v>
      </c>
      <c r="D360" s="204" t="str">
        <f t="shared" si="11"/>
        <v/>
      </c>
      <c r="E360" s="203" t="str">
        <f t="shared" si="12"/>
        <v/>
      </c>
      <c r="F360" s="228"/>
      <c r="G360" s="206"/>
      <c r="H360" s="242"/>
      <c r="I360" s="247"/>
      <c r="J360" s="253"/>
      <c r="K360" s="254"/>
      <c r="L360" s="255"/>
      <c r="M360" s="217"/>
      <c r="N360" s="250"/>
      <c r="O360" s="251"/>
      <c r="P360" s="145"/>
      <c r="Q360" s="150"/>
      <c r="R360" s="150"/>
      <c r="S360" s="150"/>
      <c r="T360" s="150"/>
      <c r="U360" s="150"/>
      <c r="V360" s="150"/>
      <c r="W360" s="150"/>
      <c r="X360" s="150"/>
      <c r="Y360" s="150"/>
    </row>
    <row r="361" spans="2:25" ht="14.5" x14ac:dyDescent="0.35">
      <c r="B361" s="203">
        <f t="shared" si="13"/>
        <v>349</v>
      </c>
      <c r="C361" s="204">
        <f t="shared" si="10"/>
        <v>0</v>
      </c>
      <c r="D361" s="204" t="str">
        <f t="shared" si="11"/>
        <v/>
      </c>
      <c r="E361" s="203" t="str">
        <f t="shared" si="12"/>
        <v/>
      </c>
      <c r="F361" s="228"/>
      <c r="G361" s="206"/>
      <c r="H361" s="242"/>
      <c r="I361" s="247"/>
      <c r="J361" s="253"/>
      <c r="K361" s="254"/>
      <c r="L361" s="255"/>
      <c r="M361" s="217"/>
      <c r="N361" s="250"/>
      <c r="O361" s="251"/>
      <c r="P361" s="145"/>
      <c r="Q361" s="150"/>
      <c r="R361" s="150"/>
      <c r="S361" s="150"/>
      <c r="T361" s="150"/>
      <c r="U361" s="150"/>
      <c r="V361" s="150"/>
      <c r="W361" s="150"/>
      <c r="X361" s="150"/>
      <c r="Y361" s="150"/>
    </row>
    <row r="362" spans="2:25" ht="14.5" x14ac:dyDescent="0.35">
      <c r="B362" s="203">
        <f t="shared" si="13"/>
        <v>350</v>
      </c>
      <c r="C362" s="204">
        <f t="shared" si="10"/>
        <v>0</v>
      </c>
      <c r="D362" s="204" t="str">
        <f t="shared" si="11"/>
        <v/>
      </c>
      <c r="E362" s="203" t="str">
        <f t="shared" si="12"/>
        <v/>
      </c>
      <c r="F362" s="228"/>
      <c r="G362" s="206"/>
      <c r="H362" s="242"/>
      <c r="I362" s="247"/>
      <c r="J362" s="253"/>
      <c r="K362" s="254"/>
      <c r="L362" s="255"/>
      <c r="M362" s="217"/>
      <c r="N362" s="250"/>
      <c r="O362" s="251"/>
      <c r="P362" s="145"/>
      <c r="Q362" s="150"/>
      <c r="R362" s="150"/>
      <c r="S362" s="150"/>
      <c r="T362" s="150"/>
      <c r="U362" s="150"/>
      <c r="V362" s="150"/>
      <c r="W362" s="150"/>
      <c r="X362" s="150"/>
      <c r="Y362" s="150"/>
    </row>
    <row r="363" spans="2:25" ht="14.5" x14ac:dyDescent="0.35">
      <c r="B363" s="203">
        <f t="shared" si="13"/>
        <v>351</v>
      </c>
      <c r="C363" s="204">
        <f t="shared" si="10"/>
        <v>0</v>
      </c>
      <c r="D363" s="204" t="str">
        <f t="shared" si="11"/>
        <v/>
      </c>
      <c r="E363" s="203" t="str">
        <f t="shared" si="12"/>
        <v/>
      </c>
      <c r="F363" s="228"/>
      <c r="G363" s="206"/>
      <c r="H363" s="242"/>
      <c r="I363" s="247"/>
      <c r="J363" s="253"/>
      <c r="K363" s="254"/>
      <c r="L363" s="255"/>
      <c r="M363" s="217"/>
      <c r="N363" s="250"/>
      <c r="O363" s="251"/>
      <c r="P363" s="145"/>
      <c r="Q363" s="150"/>
      <c r="R363" s="150"/>
      <c r="S363" s="150"/>
      <c r="T363" s="150"/>
      <c r="U363" s="150"/>
      <c r="V363" s="150"/>
      <c r="W363" s="150"/>
      <c r="X363" s="150"/>
      <c r="Y363" s="150"/>
    </row>
    <row r="364" spans="2:25" ht="14.5" x14ac:dyDescent="0.35">
      <c r="B364" s="203">
        <f t="shared" si="13"/>
        <v>352</v>
      </c>
      <c r="C364" s="204">
        <f t="shared" si="10"/>
        <v>0</v>
      </c>
      <c r="D364" s="204" t="str">
        <f t="shared" si="11"/>
        <v/>
      </c>
      <c r="E364" s="203" t="str">
        <f t="shared" si="12"/>
        <v/>
      </c>
      <c r="F364" s="228"/>
      <c r="G364" s="206"/>
      <c r="H364" s="242"/>
      <c r="I364" s="247"/>
      <c r="J364" s="253"/>
      <c r="K364" s="254"/>
      <c r="L364" s="255"/>
      <c r="M364" s="217"/>
      <c r="N364" s="250"/>
      <c r="O364" s="251"/>
      <c r="P364" s="145"/>
      <c r="Q364" s="150"/>
      <c r="R364" s="150"/>
      <c r="S364" s="150"/>
      <c r="T364" s="150"/>
      <c r="U364" s="150"/>
      <c r="V364" s="150"/>
      <c r="W364" s="150"/>
      <c r="X364" s="150"/>
      <c r="Y364" s="150"/>
    </row>
    <row r="365" spans="2:25" ht="14.5" x14ac:dyDescent="0.35">
      <c r="B365" s="203">
        <f t="shared" si="13"/>
        <v>353</v>
      </c>
      <c r="C365" s="204">
        <f t="shared" si="10"/>
        <v>0</v>
      </c>
      <c r="D365" s="204" t="str">
        <f t="shared" si="11"/>
        <v/>
      </c>
      <c r="E365" s="203" t="str">
        <f t="shared" si="12"/>
        <v/>
      </c>
      <c r="F365" s="228"/>
      <c r="G365" s="206"/>
      <c r="H365" s="242"/>
      <c r="I365" s="247"/>
      <c r="J365" s="253"/>
      <c r="K365" s="254"/>
      <c r="L365" s="255"/>
      <c r="M365" s="217"/>
      <c r="N365" s="250"/>
      <c r="O365" s="251"/>
      <c r="P365" s="145"/>
      <c r="Q365" s="150"/>
      <c r="R365" s="150"/>
      <c r="S365" s="150"/>
      <c r="T365" s="150"/>
      <c r="U365" s="150"/>
      <c r="V365" s="150"/>
      <c r="W365" s="150"/>
      <c r="X365" s="150"/>
      <c r="Y365" s="150"/>
    </row>
    <row r="366" spans="2:25" ht="14.5" x14ac:dyDescent="0.35">
      <c r="B366" s="203">
        <f t="shared" si="13"/>
        <v>354</v>
      </c>
      <c r="C366" s="204">
        <f t="shared" si="10"/>
        <v>0</v>
      </c>
      <c r="D366" s="204" t="str">
        <f t="shared" si="11"/>
        <v/>
      </c>
      <c r="E366" s="203" t="str">
        <f t="shared" si="12"/>
        <v/>
      </c>
      <c r="F366" s="228"/>
      <c r="G366" s="206"/>
      <c r="H366" s="242"/>
      <c r="I366" s="247"/>
      <c r="J366" s="253"/>
      <c r="K366" s="254"/>
      <c r="L366" s="255"/>
      <c r="M366" s="217"/>
      <c r="N366" s="250"/>
      <c r="O366" s="251"/>
      <c r="P366" s="145"/>
      <c r="Q366" s="150"/>
      <c r="R366" s="150"/>
      <c r="S366" s="150"/>
      <c r="T366" s="150"/>
      <c r="U366" s="150"/>
      <c r="V366" s="150"/>
      <c r="W366" s="150"/>
      <c r="X366" s="150"/>
      <c r="Y366" s="150"/>
    </row>
    <row r="367" spans="2:25" ht="14.5" x14ac:dyDescent="0.35">
      <c r="B367" s="203">
        <f t="shared" si="13"/>
        <v>355</v>
      </c>
      <c r="C367" s="204">
        <f t="shared" si="10"/>
        <v>0</v>
      </c>
      <c r="D367" s="204" t="str">
        <f t="shared" si="11"/>
        <v/>
      </c>
      <c r="E367" s="203" t="str">
        <f t="shared" si="12"/>
        <v/>
      </c>
      <c r="F367" s="228"/>
      <c r="G367" s="206"/>
      <c r="H367" s="242"/>
      <c r="I367" s="247"/>
      <c r="J367" s="253"/>
      <c r="K367" s="254"/>
      <c r="L367" s="255"/>
      <c r="M367" s="217"/>
      <c r="N367" s="250"/>
      <c r="O367" s="251"/>
      <c r="P367" s="145"/>
      <c r="Q367" s="150"/>
      <c r="R367" s="150"/>
      <c r="S367" s="150"/>
      <c r="T367" s="150"/>
      <c r="U367" s="150"/>
      <c r="V367" s="150"/>
      <c r="W367" s="150"/>
      <c r="X367" s="150"/>
      <c r="Y367" s="150"/>
    </row>
    <row r="368" spans="2:25" ht="14.5" x14ac:dyDescent="0.35">
      <c r="B368" s="203">
        <f t="shared" si="13"/>
        <v>356</v>
      </c>
      <c r="C368" s="204">
        <f t="shared" si="10"/>
        <v>0</v>
      </c>
      <c r="D368" s="204" t="str">
        <f t="shared" si="11"/>
        <v/>
      </c>
      <c r="E368" s="203" t="str">
        <f t="shared" si="12"/>
        <v/>
      </c>
      <c r="F368" s="228"/>
      <c r="G368" s="206"/>
      <c r="H368" s="242"/>
      <c r="I368" s="247"/>
      <c r="J368" s="253"/>
      <c r="K368" s="254"/>
      <c r="L368" s="255"/>
      <c r="M368" s="217"/>
      <c r="N368" s="250"/>
      <c r="O368" s="251"/>
      <c r="P368" s="145"/>
      <c r="Q368" s="150"/>
      <c r="R368" s="150"/>
      <c r="S368" s="150"/>
      <c r="T368" s="150"/>
      <c r="U368" s="150"/>
      <c r="V368" s="150"/>
      <c r="W368" s="150"/>
      <c r="X368" s="150"/>
      <c r="Y368" s="150"/>
    </row>
    <row r="369" spans="2:25" ht="14.5" x14ac:dyDescent="0.35">
      <c r="B369" s="203">
        <f t="shared" si="13"/>
        <v>357</v>
      </c>
      <c r="C369" s="204">
        <f t="shared" si="10"/>
        <v>0</v>
      </c>
      <c r="D369" s="204" t="str">
        <f t="shared" si="11"/>
        <v/>
      </c>
      <c r="E369" s="203" t="str">
        <f t="shared" si="12"/>
        <v/>
      </c>
      <c r="F369" s="228"/>
      <c r="G369" s="206"/>
      <c r="H369" s="242"/>
      <c r="I369" s="247"/>
      <c r="J369" s="253"/>
      <c r="K369" s="254"/>
      <c r="L369" s="255"/>
      <c r="M369" s="217"/>
      <c r="N369" s="250"/>
      <c r="O369" s="251"/>
      <c r="P369" s="145"/>
      <c r="Q369" s="150"/>
      <c r="R369" s="150"/>
      <c r="S369" s="150"/>
      <c r="T369" s="150"/>
      <c r="U369" s="150"/>
      <c r="V369" s="150"/>
      <c r="W369" s="150"/>
      <c r="X369" s="150"/>
      <c r="Y369" s="150"/>
    </row>
    <row r="370" spans="2:25" ht="14.5" x14ac:dyDescent="0.35">
      <c r="B370" s="203">
        <f t="shared" si="13"/>
        <v>358</v>
      </c>
      <c r="C370" s="204">
        <f t="shared" si="10"/>
        <v>0</v>
      </c>
      <c r="D370" s="204" t="str">
        <f t="shared" si="11"/>
        <v/>
      </c>
      <c r="E370" s="203" t="str">
        <f t="shared" si="12"/>
        <v/>
      </c>
      <c r="F370" s="228"/>
      <c r="G370" s="206"/>
      <c r="H370" s="242"/>
      <c r="I370" s="247"/>
      <c r="J370" s="253"/>
      <c r="K370" s="254"/>
      <c r="L370" s="255"/>
      <c r="M370" s="217"/>
      <c r="N370" s="250"/>
      <c r="O370" s="251"/>
      <c r="P370" s="145"/>
      <c r="Q370" s="150"/>
      <c r="R370" s="150"/>
      <c r="S370" s="150"/>
      <c r="T370" s="150"/>
      <c r="U370" s="150"/>
      <c r="V370" s="150"/>
      <c r="W370" s="150"/>
      <c r="X370" s="150"/>
      <c r="Y370" s="150"/>
    </row>
    <row r="371" spans="2:25" ht="14.5" x14ac:dyDescent="0.35">
      <c r="B371" s="203">
        <f t="shared" si="13"/>
        <v>359</v>
      </c>
      <c r="C371" s="204">
        <f t="shared" si="10"/>
        <v>0</v>
      </c>
      <c r="D371" s="204" t="str">
        <f t="shared" si="11"/>
        <v/>
      </c>
      <c r="E371" s="203" t="str">
        <f t="shared" si="12"/>
        <v/>
      </c>
      <c r="F371" s="228"/>
      <c r="G371" s="206"/>
      <c r="H371" s="242"/>
      <c r="I371" s="247"/>
      <c r="J371" s="253"/>
      <c r="K371" s="254"/>
      <c r="L371" s="255"/>
      <c r="M371" s="217"/>
      <c r="N371" s="250"/>
      <c r="O371" s="251"/>
      <c r="P371" s="145"/>
      <c r="Q371" s="150"/>
      <c r="R371" s="150"/>
      <c r="S371" s="150"/>
      <c r="T371" s="150"/>
      <c r="U371" s="150"/>
      <c r="V371" s="150"/>
      <c r="W371" s="150"/>
      <c r="X371" s="150"/>
      <c r="Y371" s="150"/>
    </row>
    <row r="372" spans="2:25" ht="14.5" x14ac:dyDescent="0.35">
      <c r="B372" s="203">
        <f t="shared" si="13"/>
        <v>360</v>
      </c>
      <c r="C372" s="204">
        <f t="shared" si="10"/>
        <v>0</v>
      </c>
      <c r="D372" s="204" t="str">
        <f t="shared" si="11"/>
        <v/>
      </c>
      <c r="E372" s="203" t="str">
        <f t="shared" si="12"/>
        <v/>
      </c>
      <c r="F372" s="228"/>
      <c r="G372" s="206"/>
      <c r="H372" s="242"/>
      <c r="I372" s="247"/>
      <c r="J372" s="253"/>
      <c r="K372" s="254"/>
      <c r="L372" s="255"/>
      <c r="M372" s="217"/>
      <c r="N372" s="250"/>
      <c r="O372" s="251"/>
      <c r="P372" s="145"/>
      <c r="Q372" s="150"/>
      <c r="R372" s="150"/>
      <c r="S372" s="150"/>
      <c r="T372" s="150"/>
      <c r="U372" s="150"/>
      <c r="V372" s="150"/>
      <c r="W372" s="150"/>
      <c r="X372" s="150"/>
      <c r="Y372" s="150"/>
    </row>
    <row r="373" spans="2:25" ht="14.5" x14ac:dyDescent="0.35">
      <c r="B373" s="203">
        <f t="shared" si="13"/>
        <v>361</v>
      </c>
      <c r="C373" s="204">
        <f t="shared" si="10"/>
        <v>0</v>
      </c>
      <c r="D373" s="204" t="str">
        <f t="shared" si="11"/>
        <v/>
      </c>
      <c r="E373" s="203" t="str">
        <f t="shared" si="12"/>
        <v/>
      </c>
      <c r="F373" s="228"/>
      <c r="G373" s="206"/>
      <c r="H373" s="242"/>
      <c r="I373" s="247"/>
      <c r="J373" s="253"/>
      <c r="K373" s="254"/>
      <c r="L373" s="255"/>
      <c r="M373" s="217"/>
      <c r="N373" s="250"/>
      <c r="O373" s="251"/>
      <c r="P373" s="145"/>
      <c r="Q373" s="150"/>
      <c r="R373" s="150"/>
      <c r="S373" s="150"/>
      <c r="T373" s="150"/>
      <c r="U373" s="150"/>
      <c r="V373" s="150"/>
      <c r="W373" s="150"/>
      <c r="X373" s="150"/>
      <c r="Y373" s="150"/>
    </row>
    <row r="374" spans="2:25" ht="14.5" x14ac:dyDescent="0.35">
      <c r="B374" s="203">
        <f t="shared" si="13"/>
        <v>362</v>
      </c>
      <c r="C374" s="204">
        <f t="shared" si="10"/>
        <v>0</v>
      </c>
      <c r="D374" s="204" t="str">
        <f t="shared" si="11"/>
        <v/>
      </c>
      <c r="E374" s="203" t="str">
        <f t="shared" si="12"/>
        <v/>
      </c>
      <c r="F374" s="228"/>
      <c r="G374" s="206"/>
      <c r="H374" s="242"/>
      <c r="I374" s="247"/>
      <c r="J374" s="253"/>
      <c r="K374" s="254"/>
      <c r="L374" s="255"/>
      <c r="M374" s="217"/>
      <c r="N374" s="250"/>
      <c r="O374" s="251"/>
      <c r="P374" s="145"/>
      <c r="Q374" s="150"/>
      <c r="R374" s="150"/>
      <c r="S374" s="150"/>
      <c r="T374" s="150"/>
      <c r="U374" s="150"/>
      <c r="V374" s="150"/>
      <c r="W374" s="150"/>
      <c r="X374" s="150"/>
      <c r="Y374" s="150"/>
    </row>
    <row r="375" spans="2:25" ht="14.5" x14ac:dyDescent="0.35">
      <c r="B375" s="203">
        <f t="shared" si="13"/>
        <v>363</v>
      </c>
      <c r="C375" s="204">
        <f t="shared" si="10"/>
        <v>0</v>
      </c>
      <c r="D375" s="204" t="str">
        <f t="shared" si="11"/>
        <v/>
      </c>
      <c r="E375" s="203" t="str">
        <f t="shared" si="12"/>
        <v/>
      </c>
      <c r="F375" s="228"/>
      <c r="G375" s="206"/>
      <c r="H375" s="242"/>
      <c r="I375" s="247"/>
      <c r="J375" s="253"/>
      <c r="K375" s="254"/>
      <c r="L375" s="255"/>
      <c r="M375" s="217"/>
      <c r="N375" s="250"/>
      <c r="O375" s="251"/>
      <c r="P375" s="145"/>
      <c r="Q375" s="150"/>
      <c r="R375" s="150"/>
      <c r="S375" s="150"/>
      <c r="T375" s="150"/>
      <c r="U375" s="150"/>
      <c r="V375" s="150"/>
      <c r="W375" s="150"/>
      <c r="X375" s="150"/>
      <c r="Y375" s="150"/>
    </row>
    <row r="376" spans="2:25" ht="14.5" x14ac:dyDescent="0.35">
      <c r="B376" s="203">
        <f t="shared" si="13"/>
        <v>364</v>
      </c>
      <c r="C376" s="204">
        <f t="shared" si="10"/>
        <v>0</v>
      </c>
      <c r="D376" s="204" t="str">
        <f t="shared" si="11"/>
        <v/>
      </c>
      <c r="E376" s="203" t="str">
        <f t="shared" si="12"/>
        <v/>
      </c>
      <c r="F376" s="228"/>
      <c r="G376" s="206"/>
      <c r="H376" s="242"/>
      <c r="I376" s="247"/>
      <c r="J376" s="253"/>
      <c r="K376" s="254"/>
      <c r="L376" s="255"/>
      <c r="M376" s="217"/>
      <c r="N376" s="250"/>
      <c r="O376" s="251"/>
      <c r="P376" s="145"/>
      <c r="Q376" s="150"/>
      <c r="R376" s="150"/>
      <c r="S376" s="150"/>
      <c r="T376" s="150"/>
      <c r="U376" s="150"/>
      <c r="V376" s="150"/>
      <c r="W376" s="150"/>
      <c r="X376" s="150"/>
      <c r="Y376" s="150"/>
    </row>
    <row r="377" spans="2:25" ht="14.5" x14ac:dyDescent="0.35">
      <c r="B377" s="203">
        <f t="shared" si="13"/>
        <v>365</v>
      </c>
      <c r="C377" s="204">
        <f t="shared" si="10"/>
        <v>0</v>
      </c>
      <c r="D377" s="204" t="str">
        <f t="shared" si="11"/>
        <v/>
      </c>
      <c r="E377" s="203" t="str">
        <f t="shared" si="12"/>
        <v/>
      </c>
      <c r="F377" s="228"/>
      <c r="G377" s="206"/>
      <c r="H377" s="242"/>
      <c r="I377" s="247"/>
      <c r="J377" s="253"/>
      <c r="K377" s="254"/>
      <c r="L377" s="255"/>
      <c r="M377" s="217"/>
      <c r="N377" s="250"/>
      <c r="O377" s="251"/>
      <c r="P377" s="145"/>
      <c r="Q377" s="150"/>
      <c r="R377" s="150"/>
      <c r="S377" s="150"/>
      <c r="T377" s="150"/>
      <c r="U377" s="150"/>
      <c r="V377" s="150"/>
      <c r="W377" s="150"/>
      <c r="X377" s="150"/>
      <c r="Y377" s="150"/>
    </row>
    <row r="378" spans="2:25" ht="14.5" x14ac:dyDescent="0.35">
      <c r="B378" s="203">
        <f t="shared" si="13"/>
        <v>366</v>
      </c>
      <c r="C378" s="204">
        <f t="shared" si="10"/>
        <v>0</v>
      </c>
      <c r="D378" s="204" t="str">
        <f t="shared" si="11"/>
        <v/>
      </c>
      <c r="E378" s="203" t="str">
        <f t="shared" si="12"/>
        <v/>
      </c>
      <c r="F378" s="228"/>
      <c r="G378" s="206"/>
      <c r="H378" s="242"/>
      <c r="I378" s="247"/>
      <c r="J378" s="253"/>
      <c r="K378" s="254"/>
      <c r="L378" s="256"/>
      <c r="M378" s="217"/>
      <c r="N378" s="250"/>
      <c r="O378" s="251"/>
      <c r="P378" s="145"/>
      <c r="Q378" s="150"/>
      <c r="R378" s="150"/>
      <c r="S378" s="150"/>
      <c r="T378" s="150"/>
      <c r="U378" s="150"/>
      <c r="V378" s="150"/>
      <c r="W378" s="150"/>
      <c r="X378" s="150"/>
      <c r="Y378" s="150"/>
    </row>
    <row r="379" spans="2:25" ht="14.5" x14ac:dyDescent="0.35">
      <c r="B379" s="203">
        <f t="shared" si="13"/>
        <v>367</v>
      </c>
      <c r="C379" s="204">
        <f t="shared" si="10"/>
        <v>0</v>
      </c>
      <c r="D379" s="204" t="str">
        <f t="shared" si="11"/>
        <v/>
      </c>
      <c r="E379" s="203" t="str">
        <f t="shared" si="12"/>
        <v/>
      </c>
      <c r="F379" s="228"/>
      <c r="G379" s="206"/>
      <c r="H379" s="242"/>
      <c r="I379" s="247"/>
      <c r="J379" s="253"/>
      <c r="K379" s="254"/>
      <c r="L379" s="256"/>
      <c r="M379" s="217"/>
      <c r="N379" s="250"/>
      <c r="O379" s="251"/>
      <c r="P379" s="145"/>
      <c r="Q379" s="150"/>
      <c r="R379" s="150"/>
      <c r="S379" s="150"/>
      <c r="T379" s="150"/>
      <c r="U379" s="150"/>
      <c r="V379" s="150"/>
      <c r="W379" s="150"/>
      <c r="X379" s="150"/>
      <c r="Y379" s="150"/>
    </row>
    <row r="380" spans="2:25" ht="14.5" x14ac:dyDescent="0.35">
      <c r="B380" s="203">
        <f t="shared" si="13"/>
        <v>368</v>
      </c>
      <c r="C380" s="204">
        <f t="shared" si="10"/>
        <v>0</v>
      </c>
      <c r="D380" s="204" t="str">
        <f t="shared" si="11"/>
        <v/>
      </c>
      <c r="E380" s="203" t="str">
        <f t="shared" si="12"/>
        <v/>
      </c>
      <c r="F380" s="228"/>
      <c r="G380" s="206"/>
      <c r="H380" s="242"/>
      <c r="I380" s="247"/>
      <c r="J380" s="253"/>
      <c r="K380" s="254"/>
      <c r="L380" s="256"/>
      <c r="M380" s="217"/>
      <c r="N380" s="250"/>
      <c r="O380" s="251"/>
      <c r="P380" s="145"/>
      <c r="Q380" s="150"/>
      <c r="R380" s="150"/>
      <c r="S380" s="150"/>
      <c r="T380" s="150"/>
      <c r="U380" s="150"/>
      <c r="V380" s="150"/>
      <c r="W380" s="150"/>
      <c r="X380" s="150"/>
      <c r="Y380" s="150"/>
    </row>
    <row r="381" spans="2:25" ht="14.5" x14ac:dyDescent="0.35">
      <c r="B381" s="203">
        <f t="shared" si="13"/>
        <v>369</v>
      </c>
      <c r="C381" s="204">
        <f t="shared" si="10"/>
        <v>0</v>
      </c>
      <c r="D381" s="204" t="str">
        <f t="shared" si="11"/>
        <v/>
      </c>
      <c r="E381" s="203" t="str">
        <f t="shared" si="12"/>
        <v/>
      </c>
      <c r="F381" s="228"/>
      <c r="G381" s="206"/>
      <c r="H381" s="242"/>
      <c r="I381" s="247"/>
      <c r="J381" s="253"/>
      <c r="K381" s="254"/>
      <c r="L381" s="256"/>
      <c r="M381" s="217"/>
      <c r="N381" s="250"/>
      <c r="O381" s="251"/>
      <c r="P381" s="145"/>
      <c r="Q381" s="150"/>
      <c r="R381" s="150"/>
      <c r="S381" s="150"/>
      <c r="T381" s="150"/>
      <c r="U381" s="150"/>
      <c r="V381" s="150"/>
      <c r="W381" s="150"/>
      <c r="X381" s="150"/>
      <c r="Y381" s="150"/>
    </row>
    <row r="382" spans="2:25" ht="14.5" x14ac:dyDescent="0.35">
      <c r="B382" s="203">
        <f t="shared" si="13"/>
        <v>370</v>
      </c>
      <c r="C382" s="204">
        <f t="shared" si="10"/>
        <v>0</v>
      </c>
      <c r="D382" s="204" t="str">
        <f t="shared" si="11"/>
        <v/>
      </c>
      <c r="E382" s="203" t="str">
        <f t="shared" si="12"/>
        <v/>
      </c>
      <c r="F382" s="228"/>
      <c r="G382" s="206"/>
      <c r="H382" s="242"/>
      <c r="I382" s="247"/>
      <c r="J382" s="253"/>
      <c r="K382" s="254"/>
      <c r="L382" s="255"/>
      <c r="M382" s="217"/>
      <c r="N382" s="250"/>
      <c r="O382" s="251"/>
      <c r="P382" s="145"/>
      <c r="Q382" s="150"/>
      <c r="R382" s="150"/>
      <c r="S382" s="150"/>
      <c r="T382" s="150"/>
      <c r="U382" s="150"/>
      <c r="V382" s="150"/>
      <c r="W382" s="150"/>
      <c r="X382" s="150"/>
      <c r="Y382" s="150"/>
    </row>
    <row r="383" spans="2:25" ht="14.5" x14ac:dyDescent="0.35">
      <c r="B383" s="203">
        <f t="shared" si="13"/>
        <v>371</v>
      </c>
      <c r="C383" s="204">
        <f t="shared" si="10"/>
        <v>0</v>
      </c>
      <c r="D383" s="204" t="str">
        <f t="shared" si="11"/>
        <v/>
      </c>
      <c r="E383" s="203" t="str">
        <f t="shared" si="12"/>
        <v/>
      </c>
      <c r="F383" s="228"/>
      <c r="G383" s="206"/>
      <c r="H383" s="242"/>
      <c r="I383" s="247"/>
      <c r="J383" s="253"/>
      <c r="K383" s="254"/>
      <c r="L383" s="256"/>
      <c r="M383" s="217"/>
      <c r="N383" s="250"/>
      <c r="O383" s="251"/>
      <c r="P383" s="145"/>
      <c r="Q383" s="150"/>
      <c r="R383" s="150"/>
      <c r="S383" s="150"/>
      <c r="T383" s="150"/>
      <c r="U383" s="150"/>
      <c r="V383" s="150"/>
      <c r="W383" s="150"/>
      <c r="X383" s="150"/>
      <c r="Y383" s="150"/>
    </row>
    <row r="384" spans="2:25" ht="14.5" x14ac:dyDescent="0.35">
      <c r="B384" s="203">
        <f t="shared" si="13"/>
        <v>372</v>
      </c>
      <c r="C384" s="204">
        <f t="shared" si="10"/>
        <v>0</v>
      </c>
      <c r="D384" s="204" t="str">
        <f t="shared" si="11"/>
        <v/>
      </c>
      <c r="E384" s="203" t="str">
        <f t="shared" si="12"/>
        <v/>
      </c>
      <c r="F384" s="228"/>
      <c r="G384" s="206"/>
      <c r="H384" s="242"/>
      <c r="I384" s="247"/>
      <c r="J384" s="253"/>
      <c r="K384" s="254"/>
      <c r="L384" s="255"/>
      <c r="M384" s="217"/>
      <c r="N384" s="250"/>
      <c r="O384" s="251"/>
      <c r="P384" s="145"/>
      <c r="Q384" s="150"/>
      <c r="R384" s="150"/>
      <c r="S384" s="150"/>
      <c r="T384" s="150"/>
      <c r="U384" s="150"/>
      <c r="V384" s="150"/>
      <c r="W384" s="150"/>
      <c r="X384" s="150"/>
      <c r="Y384" s="150"/>
    </row>
    <row r="385" spans="2:25" ht="14.5" x14ac:dyDescent="0.35">
      <c r="B385" s="203">
        <f t="shared" si="13"/>
        <v>373</v>
      </c>
      <c r="C385" s="204">
        <f t="shared" si="10"/>
        <v>0</v>
      </c>
      <c r="D385" s="204" t="str">
        <f t="shared" si="11"/>
        <v/>
      </c>
      <c r="E385" s="203" t="str">
        <f t="shared" si="12"/>
        <v/>
      </c>
      <c r="F385" s="228"/>
      <c r="G385" s="206"/>
      <c r="H385" s="242"/>
      <c r="I385" s="247"/>
      <c r="J385" s="253"/>
      <c r="K385" s="254"/>
      <c r="L385" s="255"/>
      <c r="M385" s="217"/>
      <c r="N385" s="250"/>
      <c r="O385" s="251"/>
      <c r="P385" s="145"/>
      <c r="Q385" s="150"/>
      <c r="R385" s="150"/>
      <c r="S385" s="150"/>
      <c r="T385" s="150"/>
      <c r="U385" s="150"/>
      <c r="V385" s="150"/>
      <c r="W385" s="150"/>
      <c r="X385" s="150"/>
      <c r="Y385" s="150"/>
    </row>
    <row r="386" spans="2:25" ht="14.5" x14ac:dyDescent="0.35">
      <c r="B386" s="203">
        <f t="shared" si="13"/>
        <v>374</v>
      </c>
      <c r="C386" s="204">
        <f t="shared" si="10"/>
        <v>0</v>
      </c>
      <c r="D386" s="204" t="str">
        <f t="shared" si="11"/>
        <v/>
      </c>
      <c r="E386" s="203" t="str">
        <f t="shared" si="12"/>
        <v/>
      </c>
      <c r="F386" s="228"/>
      <c r="G386" s="206"/>
      <c r="H386" s="242"/>
      <c r="I386" s="247"/>
      <c r="J386" s="253"/>
      <c r="K386" s="254"/>
      <c r="L386" s="255"/>
      <c r="M386" s="217"/>
      <c r="N386" s="250"/>
      <c r="O386" s="251"/>
      <c r="P386" s="145"/>
      <c r="Q386" s="150"/>
      <c r="R386" s="150"/>
      <c r="S386" s="150"/>
      <c r="T386" s="150"/>
      <c r="U386" s="150"/>
      <c r="V386" s="150"/>
      <c r="W386" s="150"/>
      <c r="X386" s="150"/>
      <c r="Y386" s="150"/>
    </row>
    <row r="387" spans="2:25" ht="14.5" x14ac:dyDescent="0.35">
      <c r="B387" s="203">
        <f t="shared" si="13"/>
        <v>375</v>
      </c>
      <c r="C387" s="204">
        <f t="shared" si="10"/>
        <v>0</v>
      </c>
      <c r="D387" s="204" t="str">
        <f t="shared" si="11"/>
        <v/>
      </c>
      <c r="E387" s="203" t="str">
        <f t="shared" si="12"/>
        <v/>
      </c>
      <c r="F387" s="228"/>
      <c r="G387" s="206"/>
      <c r="H387" s="242"/>
      <c r="I387" s="247"/>
      <c r="J387" s="253"/>
      <c r="K387" s="254"/>
      <c r="L387" s="256"/>
      <c r="M387" s="217"/>
      <c r="N387" s="250"/>
      <c r="O387" s="251"/>
      <c r="P387" s="145"/>
      <c r="Q387" s="150"/>
      <c r="R387" s="150"/>
      <c r="S387" s="150"/>
      <c r="T387" s="150"/>
      <c r="U387" s="150"/>
      <c r="V387" s="150"/>
      <c r="W387" s="150"/>
      <c r="X387" s="150"/>
      <c r="Y387" s="150"/>
    </row>
    <row r="388" spans="2:25" ht="14.5" x14ac:dyDescent="0.35">
      <c r="B388" s="203">
        <f t="shared" si="13"/>
        <v>376</v>
      </c>
      <c r="C388" s="204">
        <f t="shared" si="10"/>
        <v>0</v>
      </c>
      <c r="D388" s="204" t="str">
        <f t="shared" si="11"/>
        <v/>
      </c>
      <c r="E388" s="203" t="str">
        <f t="shared" si="12"/>
        <v/>
      </c>
      <c r="F388" s="228"/>
      <c r="G388" s="206"/>
      <c r="H388" s="242"/>
      <c r="I388" s="247"/>
      <c r="J388" s="253"/>
      <c r="K388" s="254"/>
      <c r="L388" s="255"/>
      <c r="M388" s="217"/>
      <c r="N388" s="250"/>
      <c r="O388" s="251"/>
      <c r="P388" s="145"/>
      <c r="Q388" s="150"/>
      <c r="R388" s="150"/>
      <c r="S388" s="150"/>
      <c r="T388" s="150"/>
      <c r="U388" s="150"/>
      <c r="V388" s="150"/>
      <c r="W388" s="150"/>
      <c r="X388" s="150"/>
      <c r="Y388" s="150"/>
    </row>
    <row r="389" spans="2:25" ht="14.5" x14ac:dyDescent="0.35">
      <c r="B389" s="203">
        <f t="shared" si="13"/>
        <v>377</v>
      </c>
      <c r="C389" s="204">
        <f t="shared" si="10"/>
        <v>0</v>
      </c>
      <c r="D389" s="204" t="str">
        <f t="shared" si="11"/>
        <v/>
      </c>
      <c r="E389" s="203" t="str">
        <f t="shared" si="12"/>
        <v/>
      </c>
      <c r="F389" s="228"/>
      <c r="G389" s="206"/>
      <c r="H389" s="242"/>
      <c r="I389" s="247"/>
      <c r="J389" s="253"/>
      <c r="K389" s="254"/>
      <c r="L389" s="255"/>
      <c r="M389" s="217"/>
      <c r="N389" s="250"/>
      <c r="O389" s="251"/>
      <c r="P389" s="145"/>
      <c r="Q389" s="150"/>
      <c r="R389" s="150"/>
      <c r="S389" s="150"/>
      <c r="T389" s="150"/>
      <c r="U389" s="150"/>
      <c r="V389" s="150"/>
      <c r="W389" s="150"/>
      <c r="X389" s="150"/>
      <c r="Y389" s="150"/>
    </row>
    <row r="390" spans="2:25" ht="14.5" x14ac:dyDescent="0.35">
      <c r="B390" s="203">
        <f t="shared" si="13"/>
        <v>378</v>
      </c>
      <c r="C390" s="204">
        <f t="shared" si="10"/>
        <v>0</v>
      </c>
      <c r="D390" s="204" t="str">
        <f t="shared" si="11"/>
        <v/>
      </c>
      <c r="E390" s="203" t="str">
        <f t="shared" si="12"/>
        <v/>
      </c>
      <c r="F390" s="228"/>
      <c r="G390" s="206"/>
      <c r="H390" s="242"/>
      <c r="I390" s="247"/>
      <c r="J390" s="253"/>
      <c r="K390" s="254"/>
      <c r="L390" s="256"/>
      <c r="M390" s="217"/>
      <c r="N390" s="250"/>
      <c r="O390" s="251"/>
      <c r="P390" s="145"/>
      <c r="Q390" s="150"/>
      <c r="R390" s="150"/>
      <c r="S390" s="150"/>
      <c r="T390" s="150"/>
      <c r="U390" s="150"/>
      <c r="V390" s="150"/>
      <c r="W390" s="150"/>
      <c r="X390" s="150"/>
      <c r="Y390" s="150"/>
    </row>
    <row r="391" spans="2:25" ht="14.5" x14ac:dyDescent="0.35">
      <c r="B391" s="203">
        <f t="shared" si="13"/>
        <v>379</v>
      </c>
      <c r="C391" s="204">
        <f t="shared" si="10"/>
        <v>0</v>
      </c>
      <c r="D391" s="204" t="str">
        <f t="shared" si="11"/>
        <v/>
      </c>
      <c r="E391" s="203" t="str">
        <f t="shared" si="12"/>
        <v/>
      </c>
      <c r="F391" s="228"/>
      <c r="G391" s="206"/>
      <c r="H391" s="242"/>
      <c r="I391" s="247"/>
      <c r="J391" s="253"/>
      <c r="K391" s="254"/>
      <c r="L391" s="255"/>
      <c r="M391" s="217"/>
      <c r="N391" s="250"/>
      <c r="O391" s="251"/>
      <c r="P391" s="145"/>
      <c r="Q391" s="150"/>
      <c r="R391" s="150"/>
      <c r="S391" s="150"/>
      <c r="T391" s="150"/>
      <c r="U391" s="150"/>
      <c r="V391" s="150"/>
      <c r="W391" s="150"/>
      <c r="X391" s="150"/>
      <c r="Y391" s="150"/>
    </row>
    <row r="392" spans="2:25" ht="14.5" x14ac:dyDescent="0.35">
      <c r="B392" s="203">
        <f t="shared" si="13"/>
        <v>380</v>
      </c>
      <c r="C392" s="204">
        <f t="shared" si="10"/>
        <v>0</v>
      </c>
      <c r="D392" s="204" t="str">
        <f t="shared" si="11"/>
        <v/>
      </c>
      <c r="E392" s="203" t="str">
        <f t="shared" si="12"/>
        <v/>
      </c>
      <c r="F392" s="228"/>
      <c r="G392" s="206"/>
      <c r="H392" s="242"/>
      <c r="I392" s="247"/>
      <c r="J392" s="253"/>
      <c r="K392" s="254"/>
      <c r="L392" s="255"/>
      <c r="M392" s="217"/>
      <c r="N392" s="250"/>
      <c r="O392" s="251"/>
      <c r="P392" s="145"/>
      <c r="Q392" s="150"/>
      <c r="R392" s="150"/>
      <c r="S392" s="150"/>
      <c r="T392" s="150"/>
      <c r="U392" s="150"/>
      <c r="V392" s="150"/>
      <c r="W392" s="150"/>
      <c r="X392" s="150"/>
      <c r="Y392" s="150"/>
    </row>
    <row r="393" spans="2:25" ht="14.5" x14ac:dyDescent="0.35">
      <c r="B393" s="203">
        <f t="shared" si="13"/>
        <v>381</v>
      </c>
      <c r="C393" s="204">
        <f t="shared" si="10"/>
        <v>0</v>
      </c>
      <c r="D393" s="204" t="str">
        <f t="shared" si="11"/>
        <v/>
      </c>
      <c r="E393" s="203" t="str">
        <f t="shared" si="12"/>
        <v/>
      </c>
      <c r="F393" s="228"/>
      <c r="G393" s="206"/>
      <c r="H393" s="242"/>
      <c r="I393" s="247"/>
      <c r="J393" s="253"/>
      <c r="K393" s="254"/>
      <c r="L393" s="256"/>
      <c r="M393" s="217"/>
      <c r="N393" s="250"/>
      <c r="O393" s="251"/>
      <c r="P393" s="145"/>
      <c r="Q393" s="150"/>
      <c r="R393" s="150"/>
      <c r="S393" s="150"/>
      <c r="T393" s="150"/>
      <c r="U393" s="150"/>
      <c r="V393" s="150"/>
      <c r="W393" s="150"/>
      <c r="X393" s="150"/>
      <c r="Y393" s="150"/>
    </row>
    <row r="394" spans="2:25" ht="14.5" x14ac:dyDescent="0.35">
      <c r="B394" s="203">
        <f t="shared" si="13"/>
        <v>382</v>
      </c>
      <c r="C394" s="204">
        <f t="shared" si="10"/>
        <v>0</v>
      </c>
      <c r="D394" s="204" t="str">
        <f t="shared" si="11"/>
        <v/>
      </c>
      <c r="E394" s="203" t="str">
        <f t="shared" si="12"/>
        <v/>
      </c>
      <c r="F394" s="228"/>
      <c r="G394" s="206"/>
      <c r="H394" s="242"/>
      <c r="I394" s="247"/>
      <c r="J394" s="253"/>
      <c r="K394" s="254"/>
      <c r="L394" s="255"/>
      <c r="M394" s="217"/>
      <c r="N394" s="250"/>
      <c r="O394" s="251"/>
      <c r="P394" s="145"/>
      <c r="Q394" s="150"/>
      <c r="R394" s="150"/>
      <c r="S394" s="150"/>
      <c r="T394" s="150"/>
      <c r="U394" s="150"/>
      <c r="V394" s="150"/>
      <c r="W394" s="150"/>
      <c r="X394" s="150"/>
      <c r="Y394" s="150"/>
    </row>
    <row r="395" spans="2:25" ht="14.5" x14ac:dyDescent="0.35">
      <c r="B395" s="203">
        <f t="shared" si="13"/>
        <v>383</v>
      </c>
      <c r="C395" s="204">
        <f t="shared" si="10"/>
        <v>0</v>
      </c>
      <c r="D395" s="204" t="str">
        <f t="shared" si="11"/>
        <v/>
      </c>
      <c r="E395" s="203" t="str">
        <f t="shared" si="12"/>
        <v/>
      </c>
      <c r="F395" s="228"/>
      <c r="G395" s="206"/>
      <c r="H395" s="242"/>
      <c r="I395" s="247"/>
      <c r="J395" s="253"/>
      <c r="K395" s="254"/>
      <c r="L395" s="256"/>
      <c r="M395" s="217"/>
      <c r="N395" s="250"/>
      <c r="O395" s="251"/>
      <c r="P395" s="145"/>
      <c r="Q395" s="150"/>
      <c r="R395" s="150"/>
      <c r="S395" s="150"/>
      <c r="T395" s="150"/>
      <c r="U395" s="150"/>
      <c r="V395" s="150"/>
      <c r="W395" s="150"/>
      <c r="X395" s="150"/>
      <c r="Y395" s="150"/>
    </row>
    <row r="396" spans="2:25" ht="14.5" x14ac:dyDescent="0.35">
      <c r="B396" s="203">
        <f t="shared" si="13"/>
        <v>384</v>
      </c>
      <c r="C396" s="204">
        <f t="shared" si="10"/>
        <v>0</v>
      </c>
      <c r="D396" s="204" t="str">
        <f t="shared" si="11"/>
        <v/>
      </c>
      <c r="E396" s="203" t="str">
        <f t="shared" si="12"/>
        <v/>
      </c>
      <c r="F396" s="228"/>
      <c r="G396" s="206"/>
      <c r="H396" s="242"/>
      <c r="I396" s="247"/>
      <c r="J396" s="253"/>
      <c r="K396" s="254"/>
      <c r="L396" s="258"/>
      <c r="N396" s="251"/>
      <c r="O396" s="251"/>
      <c r="P396" s="145"/>
      <c r="Q396" s="150"/>
      <c r="R396" s="150"/>
      <c r="S396" s="150"/>
      <c r="T396" s="150"/>
      <c r="U396" s="150"/>
      <c r="V396" s="150"/>
      <c r="W396" s="150"/>
      <c r="X396" s="150"/>
      <c r="Y396" s="150"/>
    </row>
    <row r="397" spans="2:25" ht="14.5" x14ac:dyDescent="0.35">
      <c r="B397" s="203">
        <f t="shared" si="13"/>
        <v>385</v>
      </c>
      <c r="C397" s="204">
        <f t="shared" ref="C397:C460" si="14">IFERROR(DAY(F397),0)</f>
        <v>0</v>
      </c>
      <c r="D397" s="204" t="str">
        <f t="shared" ref="D397:D460" si="15">IFERROR(IF(F397="","",TEXT(DATE(0,MONTH(F397),1),"MMM")),"date issue")</f>
        <v/>
      </c>
      <c r="E397" s="203" t="str">
        <f t="shared" ref="E397:E460" si="16">IFERROR(IF(OR(C397=1,C397=2,C397=3,C397=4,C397=5,C397=6,C397=7),1,IF(OR(C397=8,C397=9,C397=10,C397=11,C397=12,C397=13,C397=14),2,IF(OR(C397=15,C397=16,C397=17,C397=18,C397=19,C397=20,C397=21),3,IF(OR(C397=22,C397=23,C397=24,C397=25,C397=26,C397=27,C397=28),4,IF(OR(C397=29,C397=30,C397=31),5,""))))),0)</f>
        <v/>
      </c>
      <c r="F397" s="228"/>
      <c r="G397" s="206"/>
      <c r="H397" s="242"/>
      <c r="I397" s="247"/>
      <c r="J397" s="253"/>
      <c r="K397" s="254"/>
      <c r="L397" s="258"/>
      <c r="N397" s="251"/>
      <c r="O397" s="251"/>
      <c r="P397" s="145"/>
      <c r="Q397" s="150"/>
      <c r="R397" s="150"/>
      <c r="S397" s="150"/>
      <c r="T397" s="150"/>
      <c r="U397" s="150"/>
      <c r="V397" s="150"/>
      <c r="W397" s="150"/>
      <c r="X397" s="150"/>
      <c r="Y397" s="150"/>
    </row>
    <row r="398" spans="2:25" ht="14.5" x14ac:dyDescent="0.35">
      <c r="B398" s="203">
        <f t="shared" si="13"/>
        <v>386</v>
      </c>
      <c r="C398" s="204">
        <f t="shared" si="14"/>
        <v>0</v>
      </c>
      <c r="D398" s="204" t="str">
        <f t="shared" si="15"/>
        <v/>
      </c>
      <c r="E398" s="203" t="str">
        <f t="shared" si="16"/>
        <v/>
      </c>
      <c r="F398" s="228"/>
      <c r="G398" s="206"/>
      <c r="H398" s="242"/>
      <c r="I398" s="247"/>
      <c r="J398" s="253"/>
      <c r="K398" s="254"/>
      <c r="L398" s="258"/>
      <c r="N398" s="251"/>
      <c r="O398" s="251"/>
      <c r="P398" s="145"/>
      <c r="Q398" s="150"/>
      <c r="R398" s="150"/>
      <c r="S398" s="150"/>
      <c r="T398" s="150"/>
      <c r="U398" s="150"/>
      <c r="V398" s="150"/>
      <c r="W398" s="150"/>
      <c r="X398" s="150"/>
      <c r="Y398" s="150"/>
    </row>
    <row r="399" spans="2:25" ht="14.5" x14ac:dyDescent="0.35">
      <c r="B399" s="203">
        <f t="shared" si="13"/>
        <v>387</v>
      </c>
      <c r="C399" s="204">
        <f t="shared" si="14"/>
        <v>0</v>
      </c>
      <c r="D399" s="204" t="str">
        <f t="shared" si="15"/>
        <v/>
      </c>
      <c r="E399" s="203" t="str">
        <f t="shared" si="16"/>
        <v/>
      </c>
      <c r="F399" s="228"/>
      <c r="G399" s="206"/>
      <c r="H399" s="242"/>
      <c r="I399" s="247"/>
      <c r="J399" s="253"/>
      <c r="K399" s="254"/>
      <c r="L399" s="258"/>
      <c r="N399" s="251"/>
      <c r="O399" s="251"/>
      <c r="P399" s="145"/>
      <c r="Q399" s="150"/>
      <c r="R399" s="150"/>
      <c r="S399" s="150"/>
      <c r="T399" s="150"/>
      <c r="U399" s="150"/>
      <c r="V399" s="150"/>
      <c r="W399" s="150"/>
      <c r="X399" s="150"/>
      <c r="Y399" s="150"/>
    </row>
    <row r="400" spans="2:25" ht="14.5" x14ac:dyDescent="0.35">
      <c r="B400" s="203">
        <f t="shared" si="13"/>
        <v>388</v>
      </c>
      <c r="C400" s="204">
        <f t="shared" si="14"/>
        <v>0</v>
      </c>
      <c r="D400" s="204" t="str">
        <f t="shared" si="15"/>
        <v/>
      </c>
      <c r="E400" s="203" t="str">
        <f t="shared" si="16"/>
        <v/>
      </c>
      <c r="F400" s="228"/>
      <c r="G400" s="206"/>
      <c r="H400" s="242"/>
      <c r="I400" s="247"/>
      <c r="J400" s="253"/>
      <c r="K400" s="254"/>
      <c r="L400" s="258"/>
      <c r="N400" s="251"/>
      <c r="O400" s="251"/>
      <c r="P400" s="145"/>
      <c r="Q400" s="150"/>
      <c r="R400" s="150"/>
      <c r="S400" s="150"/>
      <c r="T400" s="150"/>
      <c r="U400" s="150"/>
      <c r="V400" s="150"/>
      <c r="W400" s="150"/>
      <c r="X400" s="150"/>
      <c r="Y400" s="150"/>
    </row>
    <row r="401" spans="2:25" ht="14.5" x14ac:dyDescent="0.35">
      <c r="B401" s="203">
        <f t="shared" si="13"/>
        <v>389</v>
      </c>
      <c r="C401" s="204">
        <f t="shared" si="14"/>
        <v>0</v>
      </c>
      <c r="D401" s="204" t="str">
        <f t="shared" si="15"/>
        <v/>
      </c>
      <c r="E401" s="203" t="str">
        <f t="shared" si="16"/>
        <v/>
      </c>
      <c r="F401" s="228"/>
      <c r="G401" s="206"/>
      <c r="H401" s="242"/>
      <c r="I401" s="247"/>
      <c r="J401" s="253"/>
      <c r="K401" s="254"/>
      <c r="L401" s="258"/>
      <c r="N401" s="251"/>
      <c r="O401" s="251"/>
      <c r="P401" s="145"/>
      <c r="Q401" s="150"/>
      <c r="R401" s="150"/>
      <c r="S401" s="150"/>
      <c r="T401" s="150"/>
      <c r="U401" s="150"/>
      <c r="V401" s="150"/>
      <c r="W401" s="150"/>
      <c r="X401" s="150"/>
      <c r="Y401" s="150"/>
    </row>
    <row r="402" spans="2:25" ht="14.5" x14ac:dyDescent="0.35">
      <c r="B402" s="203">
        <f t="shared" si="13"/>
        <v>390</v>
      </c>
      <c r="C402" s="204">
        <f t="shared" si="14"/>
        <v>0</v>
      </c>
      <c r="D402" s="204" t="str">
        <f t="shared" si="15"/>
        <v/>
      </c>
      <c r="E402" s="203" t="str">
        <f t="shared" si="16"/>
        <v/>
      </c>
      <c r="F402" s="228"/>
      <c r="G402" s="206"/>
      <c r="H402" s="242"/>
      <c r="I402" s="247"/>
      <c r="J402" s="253"/>
      <c r="K402" s="254"/>
      <c r="L402" s="259"/>
      <c r="N402" s="251"/>
      <c r="O402" s="251"/>
      <c r="P402" s="145"/>
      <c r="Q402" s="150"/>
      <c r="R402" s="150"/>
      <c r="S402" s="150"/>
      <c r="T402" s="150"/>
      <c r="U402" s="150"/>
      <c r="V402" s="150"/>
      <c r="W402" s="150"/>
      <c r="X402" s="150"/>
      <c r="Y402" s="150"/>
    </row>
    <row r="403" spans="2:25" ht="14.5" x14ac:dyDescent="0.35">
      <c r="B403" s="203">
        <f t="shared" si="13"/>
        <v>391</v>
      </c>
      <c r="C403" s="204">
        <f t="shared" si="14"/>
        <v>0</v>
      </c>
      <c r="D403" s="204" t="str">
        <f t="shared" si="15"/>
        <v/>
      </c>
      <c r="E403" s="203" t="str">
        <f t="shared" si="16"/>
        <v/>
      </c>
      <c r="F403" s="228"/>
      <c r="G403" s="206"/>
      <c r="H403" s="242"/>
      <c r="I403" s="247"/>
      <c r="J403" s="253"/>
      <c r="K403" s="254"/>
      <c r="L403" s="258"/>
      <c r="N403" s="251"/>
      <c r="O403" s="251"/>
      <c r="P403" s="145"/>
      <c r="Q403" s="150"/>
      <c r="R403" s="150"/>
      <c r="S403" s="150"/>
      <c r="T403" s="150"/>
      <c r="U403" s="150"/>
      <c r="V403" s="150"/>
      <c r="W403" s="150"/>
      <c r="X403" s="150"/>
      <c r="Y403" s="150"/>
    </row>
    <row r="404" spans="2:25" ht="14.5" x14ac:dyDescent="0.35">
      <c r="B404" s="203">
        <f t="shared" si="13"/>
        <v>392</v>
      </c>
      <c r="C404" s="204">
        <f t="shared" si="14"/>
        <v>0</v>
      </c>
      <c r="D404" s="204" t="str">
        <f t="shared" si="15"/>
        <v/>
      </c>
      <c r="E404" s="203" t="str">
        <f t="shared" si="16"/>
        <v/>
      </c>
      <c r="F404" s="260"/>
      <c r="G404" s="206"/>
      <c r="H404" s="261"/>
      <c r="I404" s="262"/>
      <c r="J404" s="263"/>
      <c r="K404" s="254"/>
      <c r="L404" s="258"/>
      <c r="N404" s="251"/>
      <c r="O404" s="251"/>
      <c r="P404" s="145"/>
      <c r="Q404" s="150"/>
      <c r="R404" s="150"/>
      <c r="S404" s="150"/>
      <c r="T404" s="150"/>
      <c r="U404" s="150"/>
      <c r="V404" s="150"/>
      <c r="W404" s="150"/>
      <c r="X404" s="150"/>
      <c r="Y404" s="150"/>
    </row>
    <row r="405" spans="2:25" ht="14.5" x14ac:dyDescent="0.35">
      <c r="B405" s="203">
        <f t="shared" si="13"/>
        <v>393</v>
      </c>
      <c r="C405" s="204">
        <f t="shared" si="14"/>
        <v>0</v>
      </c>
      <c r="D405" s="204" t="str">
        <f t="shared" si="15"/>
        <v/>
      </c>
      <c r="E405" s="203" t="str">
        <f t="shared" si="16"/>
        <v/>
      </c>
      <c r="F405" s="260"/>
      <c r="G405" s="206"/>
      <c r="H405" s="264"/>
      <c r="I405" s="265"/>
      <c r="J405" s="253"/>
      <c r="K405" s="254"/>
      <c r="L405" s="258"/>
      <c r="N405" s="251"/>
      <c r="O405" s="251"/>
      <c r="P405" s="145"/>
      <c r="Q405" s="150"/>
      <c r="R405" s="150"/>
      <c r="S405" s="150"/>
      <c r="T405" s="150"/>
      <c r="U405" s="150"/>
      <c r="V405" s="150"/>
      <c r="W405" s="150"/>
      <c r="X405" s="150"/>
      <c r="Y405" s="150"/>
    </row>
    <row r="406" spans="2:25" ht="14.5" x14ac:dyDescent="0.35">
      <c r="B406" s="203">
        <f t="shared" si="13"/>
        <v>394</v>
      </c>
      <c r="C406" s="204">
        <f t="shared" si="14"/>
        <v>0</v>
      </c>
      <c r="D406" s="204" t="str">
        <f t="shared" si="15"/>
        <v/>
      </c>
      <c r="E406" s="203" t="str">
        <f t="shared" si="16"/>
        <v/>
      </c>
      <c r="F406" s="260"/>
      <c r="G406" s="206"/>
      <c r="H406" s="264"/>
      <c r="I406" s="265"/>
      <c r="J406" s="253"/>
      <c r="K406" s="254"/>
      <c r="L406" s="258"/>
      <c r="N406" s="251"/>
      <c r="O406" s="251"/>
      <c r="P406" s="145"/>
      <c r="Q406" s="150"/>
      <c r="R406" s="150"/>
      <c r="S406" s="150"/>
      <c r="T406" s="150"/>
      <c r="U406" s="150"/>
      <c r="V406" s="150"/>
      <c r="W406" s="150"/>
      <c r="X406" s="150"/>
      <c r="Y406" s="150"/>
    </row>
    <row r="407" spans="2:25" ht="14.5" x14ac:dyDescent="0.35">
      <c r="B407" s="203">
        <f t="shared" ref="B407:B470" si="17">B406+1</f>
        <v>395</v>
      </c>
      <c r="C407" s="204">
        <f t="shared" si="14"/>
        <v>0</v>
      </c>
      <c r="D407" s="204" t="str">
        <f t="shared" si="15"/>
        <v/>
      </c>
      <c r="E407" s="203" t="str">
        <f t="shared" si="16"/>
        <v/>
      </c>
      <c r="F407" s="260"/>
      <c r="G407" s="206"/>
      <c r="H407" s="264"/>
      <c r="I407" s="265"/>
      <c r="J407" s="253"/>
      <c r="K407" s="254"/>
      <c r="L407" s="258"/>
      <c r="N407" s="251"/>
      <c r="O407" s="251"/>
      <c r="P407" s="145"/>
      <c r="Q407" s="150"/>
      <c r="R407" s="150"/>
      <c r="S407" s="150"/>
      <c r="T407" s="150"/>
      <c r="U407" s="150"/>
      <c r="V407" s="150"/>
      <c r="W407" s="150"/>
      <c r="X407" s="150"/>
      <c r="Y407" s="150"/>
    </row>
    <row r="408" spans="2:25" ht="14.5" x14ac:dyDescent="0.35">
      <c r="B408" s="203">
        <f t="shared" si="17"/>
        <v>396</v>
      </c>
      <c r="C408" s="204">
        <f t="shared" si="14"/>
        <v>0</v>
      </c>
      <c r="D408" s="204" t="str">
        <f t="shared" si="15"/>
        <v/>
      </c>
      <c r="E408" s="203" t="str">
        <f t="shared" si="16"/>
        <v/>
      </c>
      <c r="F408" s="260"/>
      <c r="G408" s="206"/>
      <c r="H408" s="264"/>
      <c r="I408" s="265"/>
      <c r="J408" s="253"/>
      <c r="K408" s="254"/>
      <c r="L408" s="258"/>
      <c r="N408" s="251"/>
      <c r="O408" s="251"/>
      <c r="P408" s="145"/>
      <c r="Q408" s="150"/>
      <c r="R408" s="150"/>
      <c r="S408" s="150"/>
      <c r="T408" s="150"/>
      <c r="U408" s="150"/>
      <c r="V408" s="150"/>
      <c r="W408" s="150"/>
      <c r="X408" s="150"/>
      <c r="Y408" s="150"/>
    </row>
    <row r="409" spans="2:25" ht="14.5" x14ac:dyDescent="0.35">
      <c r="B409" s="203">
        <f t="shared" si="17"/>
        <v>397</v>
      </c>
      <c r="C409" s="204">
        <f t="shared" si="14"/>
        <v>0</v>
      </c>
      <c r="D409" s="204" t="str">
        <f t="shared" si="15"/>
        <v/>
      </c>
      <c r="E409" s="203" t="str">
        <f t="shared" si="16"/>
        <v/>
      </c>
      <c r="F409" s="260"/>
      <c r="G409" s="206"/>
      <c r="H409" s="264"/>
      <c r="I409" s="265"/>
      <c r="J409" s="253"/>
      <c r="K409" s="254"/>
      <c r="L409" s="258"/>
      <c r="N409" s="251"/>
      <c r="O409" s="251"/>
      <c r="P409" s="145"/>
      <c r="Q409" s="150"/>
      <c r="R409" s="150"/>
      <c r="S409" s="150"/>
      <c r="T409" s="150"/>
      <c r="U409" s="150"/>
      <c r="V409" s="150"/>
      <c r="W409" s="150"/>
      <c r="X409" s="150"/>
      <c r="Y409" s="150"/>
    </row>
    <row r="410" spans="2:25" ht="14.5" x14ac:dyDescent="0.35">
      <c r="B410" s="203">
        <f t="shared" si="17"/>
        <v>398</v>
      </c>
      <c r="C410" s="204">
        <f t="shared" si="14"/>
        <v>0</v>
      </c>
      <c r="D410" s="204" t="str">
        <f t="shared" si="15"/>
        <v/>
      </c>
      <c r="E410" s="203" t="str">
        <f t="shared" si="16"/>
        <v/>
      </c>
      <c r="F410" s="260"/>
      <c r="G410" s="206"/>
      <c r="H410" s="264"/>
      <c r="I410" s="265"/>
      <c r="J410" s="253"/>
      <c r="K410" s="254"/>
      <c r="L410" s="258"/>
      <c r="N410" s="251"/>
      <c r="O410" s="251"/>
      <c r="P410" s="145"/>
      <c r="Q410" s="150"/>
      <c r="R410" s="150"/>
      <c r="S410" s="150"/>
      <c r="T410" s="150"/>
      <c r="U410" s="150"/>
      <c r="V410" s="150"/>
      <c r="W410" s="150"/>
      <c r="X410" s="150"/>
      <c r="Y410" s="150"/>
    </row>
    <row r="411" spans="2:25" ht="14.5" x14ac:dyDescent="0.35">
      <c r="B411" s="203">
        <f t="shared" si="17"/>
        <v>399</v>
      </c>
      <c r="C411" s="204">
        <f t="shared" si="14"/>
        <v>0</v>
      </c>
      <c r="D411" s="204" t="str">
        <f t="shared" si="15"/>
        <v/>
      </c>
      <c r="E411" s="203" t="str">
        <f t="shared" si="16"/>
        <v/>
      </c>
      <c r="F411" s="260"/>
      <c r="G411" s="206"/>
      <c r="H411" s="264"/>
      <c r="I411" s="265"/>
      <c r="J411" s="253"/>
      <c r="K411" s="254"/>
      <c r="L411" s="258"/>
      <c r="N411" s="251"/>
      <c r="O411" s="251"/>
      <c r="P411" s="145"/>
      <c r="Q411" s="150"/>
      <c r="R411" s="150"/>
      <c r="S411" s="150"/>
      <c r="T411" s="150"/>
      <c r="U411" s="150"/>
      <c r="V411" s="150"/>
      <c r="W411" s="150"/>
      <c r="X411" s="150"/>
      <c r="Y411" s="150"/>
    </row>
    <row r="412" spans="2:25" ht="14.5" x14ac:dyDescent="0.35">
      <c r="B412" s="203">
        <f t="shared" si="17"/>
        <v>400</v>
      </c>
      <c r="C412" s="204">
        <f t="shared" si="14"/>
        <v>0</v>
      </c>
      <c r="D412" s="204" t="str">
        <f t="shared" si="15"/>
        <v/>
      </c>
      <c r="E412" s="203" t="str">
        <f t="shared" si="16"/>
        <v/>
      </c>
      <c r="F412" s="260"/>
      <c r="G412" s="206"/>
      <c r="H412" s="264"/>
      <c r="I412" s="265"/>
      <c r="J412" s="253"/>
      <c r="K412" s="254"/>
      <c r="L412" s="258"/>
      <c r="N412" s="251"/>
      <c r="O412" s="251"/>
      <c r="P412" s="145"/>
      <c r="Q412" s="150"/>
      <c r="R412" s="150"/>
      <c r="S412" s="150"/>
      <c r="T412" s="150"/>
      <c r="U412" s="150"/>
      <c r="V412" s="150"/>
      <c r="W412" s="150"/>
      <c r="X412" s="150"/>
      <c r="Y412" s="150"/>
    </row>
    <row r="413" spans="2:25" ht="14.5" x14ac:dyDescent="0.35">
      <c r="B413" s="203">
        <f t="shared" si="17"/>
        <v>401</v>
      </c>
      <c r="C413" s="204">
        <f t="shared" si="14"/>
        <v>0</v>
      </c>
      <c r="D413" s="204" t="str">
        <f t="shared" si="15"/>
        <v/>
      </c>
      <c r="E413" s="203" t="str">
        <f t="shared" si="16"/>
        <v/>
      </c>
      <c r="F413" s="260"/>
      <c r="G413" s="206"/>
      <c r="H413" s="264"/>
      <c r="I413" s="265"/>
      <c r="J413" s="253"/>
      <c r="K413" s="254"/>
      <c r="L413" s="258"/>
      <c r="N413" s="251"/>
      <c r="O413" s="251"/>
      <c r="P413" s="145"/>
      <c r="Q413" s="150"/>
      <c r="R413" s="150"/>
      <c r="S413" s="150"/>
      <c r="T413" s="150"/>
      <c r="U413" s="150"/>
      <c r="V413" s="150"/>
      <c r="W413" s="150"/>
      <c r="X413" s="150"/>
      <c r="Y413" s="150"/>
    </row>
    <row r="414" spans="2:25" ht="14.5" x14ac:dyDescent="0.35">
      <c r="B414" s="203">
        <f t="shared" si="17"/>
        <v>402</v>
      </c>
      <c r="C414" s="204">
        <f t="shared" si="14"/>
        <v>0</v>
      </c>
      <c r="D414" s="204" t="str">
        <f t="shared" si="15"/>
        <v/>
      </c>
      <c r="E414" s="203" t="str">
        <f t="shared" si="16"/>
        <v/>
      </c>
      <c r="F414" s="260"/>
      <c r="G414" s="206"/>
      <c r="H414" s="264"/>
      <c r="I414" s="265"/>
      <c r="J414" s="253"/>
      <c r="K414" s="254"/>
      <c r="L414" s="258"/>
      <c r="N414" s="251"/>
      <c r="O414" s="251"/>
      <c r="P414" s="145"/>
      <c r="Q414" s="150"/>
      <c r="R414" s="150"/>
      <c r="S414" s="150"/>
      <c r="T414" s="150"/>
      <c r="U414" s="150"/>
      <c r="V414" s="150"/>
      <c r="W414" s="150"/>
      <c r="X414" s="150"/>
      <c r="Y414" s="150"/>
    </row>
    <row r="415" spans="2:25" ht="14.5" x14ac:dyDescent="0.35">
      <c r="B415" s="203">
        <f t="shared" si="17"/>
        <v>403</v>
      </c>
      <c r="C415" s="204">
        <f t="shared" si="14"/>
        <v>0</v>
      </c>
      <c r="D415" s="204" t="str">
        <f t="shared" si="15"/>
        <v/>
      </c>
      <c r="E415" s="203" t="str">
        <f t="shared" si="16"/>
        <v/>
      </c>
      <c r="F415" s="260"/>
      <c r="G415" s="206"/>
      <c r="H415" s="264"/>
      <c r="I415" s="265"/>
      <c r="J415" s="253"/>
      <c r="K415" s="254"/>
      <c r="L415" s="258"/>
      <c r="N415" s="251"/>
      <c r="O415" s="251"/>
      <c r="P415" s="145"/>
      <c r="Q415" s="150"/>
      <c r="R415" s="150"/>
      <c r="S415" s="150"/>
      <c r="T415" s="150"/>
      <c r="U415" s="150"/>
      <c r="V415" s="150"/>
      <c r="W415" s="150"/>
      <c r="X415" s="150"/>
      <c r="Y415" s="150"/>
    </row>
    <row r="416" spans="2:25" ht="14.5" x14ac:dyDescent="0.35">
      <c r="B416" s="203">
        <f t="shared" si="17"/>
        <v>404</v>
      </c>
      <c r="C416" s="204">
        <f t="shared" si="14"/>
        <v>0</v>
      </c>
      <c r="D416" s="204" t="str">
        <f t="shared" si="15"/>
        <v/>
      </c>
      <c r="E416" s="203" t="str">
        <f t="shared" si="16"/>
        <v/>
      </c>
      <c r="F416" s="260"/>
      <c r="G416" s="206"/>
      <c r="H416" s="264"/>
      <c r="I416" s="265"/>
      <c r="J416" s="253"/>
      <c r="K416" s="254"/>
      <c r="L416" s="258"/>
      <c r="N416" s="251"/>
      <c r="O416" s="251"/>
      <c r="P416" s="145"/>
      <c r="Q416" s="150"/>
      <c r="R416" s="150"/>
      <c r="S416" s="150"/>
      <c r="T416" s="150"/>
      <c r="U416" s="150"/>
      <c r="V416" s="150"/>
      <c r="W416" s="150"/>
      <c r="X416" s="150"/>
      <c r="Y416" s="150"/>
    </row>
    <row r="417" spans="2:25" ht="14.5" x14ac:dyDescent="0.35">
      <c r="B417" s="203">
        <f t="shared" si="17"/>
        <v>405</v>
      </c>
      <c r="C417" s="204">
        <f t="shared" si="14"/>
        <v>0</v>
      </c>
      <c r="D417" s="204" t="str">
        <f t="shared" si="15"/>
        <v/>
      </c>
      <c r="E417" s="203" t="str">
        <f t="shared" si="16"/>
        <v/>
      </c>
      <c r="F417" s="260"/>
      <c r="G417" s="206"/>
      <c r="H417" s="264"/>
      <c r="I417" s="265"/>
      <c r="J417" s="253"/>
      <c r="K417" s="254"/>
      <c r="L417" s="258"/>
      <c r="N417" s="251"/>
      <c r="O417" s="251"/>
      <c r="P417" s="145"/>
      <c r="Q417" s="150"/>
      <c r="R417" s="150"/>
      <c r="S417" s="150"/>
      <c r="T417" s="150"/>
      <c r="U417" s="150"/>
      <c r="V417" s="150"/>
      <c r="W417" s="150"/>
      <c r="X417" s="150"/>
      <c r="Y417" s="150"/>
    </row>
    <row r="418" spans="2:25" ht="14.5" x14ac:dyDescent="0.35">
      <c r="B418" s="203">
        <f t="shared" si="17"/>
        <v>406</v>
      </c>
      <c r="C418" s="204">
        <f t="shared" si="14"/>
        <v>0</v>
      </c>
      <c r="D418" s="204" t="str">
        <f t="shared" si="15"/>
        <v/>
      </c>
      <c r="E418" s="203" t="str">
        <f t="shared" si="16"/>
        <v/>
      </c>
      <c r="F418" s="260"/>
      <c r="G418" s="206"/>
      <c r="H418" s="264"/>
      <c r="I418" s="265"/>
      <c r="J418" s="253"/>
      <c r="K418" s="254"/>
      <c r="L418" s="258"/>
      <c r="N418" s="251"/>
      <c r="O418" s="251"/>
      <c r="P418" s="145"/>
      <c r="Q418" s="150"/>
      <c r="R418" s="150"/>
      <c r="S418" s="150"/>
      <c r="T418" s="150"/>
      <c r="U418" s="150"/>
      <c r="V418" s="150"/>
      <c r="W418" s="150"/>
      <c r="X418" s="150"/>
      <c r="Y418" s="150"/>
    </row>
    <row r="419" spans="2:25" ht="14.5" x14ac:dyDescent="0.35">
      <c r="B419" s="203">
        <f t="shared" si="17"/>
        <v>407</v>
      </c>
      <c r="C419" s="204">
        <f t="shared" si="14"/>
        <v>0</v>
      </c>
      <c r="D419" s="204" t="str">
        <f t="shared" si="15"/>
        <v/>
      </c>
      <c r="E419" s="203" t="str">
        <f t="shared" si="16"/>
        <v/>
      </c>
      <c r="F419" s="260"/>
      <c r="G419" s="206"/>
      <c r="H419" s="261"/>
      <c r="I419" s="262"/>
      <c r="J419" s="263"/>
      <c r="K419" s="254"/>
      <c r="L419" s="258"/>
      <c r="N419" s="251"/>
      <c r="O419" s="251"/>
      <c r="P419" s="145"/>
      <c r="Q419" s="150"/>
      <c r="R419" s="150"/>
      <c r="S419" s="150"/>
      <c r="T419" s="150"/>
      <c r="U419" s="150"/>
      <c r="V419" s="150"/>
      <c r="W419" s="150"/>
      <c r="X419" s="150"/>
      <c r="Y419" s="150"/>
    </row>
    <row r="420" spans="2:25" ht="14.5" x14ac:dyDescent="0.35">
      <c r="B420" s="203">
        <f t="shared" si="17"/>
        <v>408</v>
      </c>
      <c r="C420" s="204">
        <f t="shared" si="14"/>
        <v>0</v>
      </c>
      <c r="D420" s="204" t="str">
        <f t="shared" si="15"/>
        <v/>
      </c>
      <c r="E420" s="203" t="str">
        <f t="shared" si="16"/>
        <v/>
      </c>
      <c r="F420" s="260"/>
      <c r="G420" s="206"/>
      <c r="H420" s="264"/>
      <c r="I420" s="265"/>
      <c r="J420" s="253"/>
      <c r="K420" s="254"/>
      <c r="L420" s="258"/>
      <c r="N420" s="251"/>
      <c r="O420" s="251"/>
      <c r="P420" s="145"/>
      <c r="Q420" s="150"/>
      <c r="R420" s="150"/>
      <c r="S420" s="150"/>
      <c r="T420" s="150"/>
      <c r="U420" s="150"/>
      <c r="V420" s="150"/>
      <c r="W420" s="150"/>
      <c r="X420" s="150"/>
      <c r="Y420" s="150"/>
    </row>
    <row r="421" spans="2:25" ht="14.5" x14ac:dyDescent="0.35">
      <c r="B421" s="203">
        <f t="shared" si="17"/>
        <v>409</v>
      </c>
      <c r="C421" s="204">
        <f t="shared" si="14"/>
        <v>0</v>
      </c>
      <c r="D421" s="204" t="str">
        <f t="shared" si="15"/>
        <v/>
      </c>
      <c r="E421" s="203" t="str">
        <f t="shared" si="16"/>
        <v/>
      </c>
      <c r="F421" s="260"/>
      <c r="G421" s="206"/>
      <c r="H421" s="264"/>
      <c r="I421" s="265"/>
      <c r="J421" s="253"/>
      <c r="K421" s="254"/>
      <c r="L421" s="258"/>
      <c r="N421" s="251"/>
      <c r="O421" s="251"/>
      <c r="P421" s="145"/>
      <c r="Q421" s="150"/>
      <c r="R421" s="150"/>
      <c r="S421" s="150"/>
      <c r="T421" s="150"/>
      <c r="U421" s="150"/>
      <c r="V421" s="150"/>
      <c r="W421" s="150"/>
      <c r="X421" s="150"/>
      <c r="Y421" s="150"/>
    </row>
    <row r="422" spans="2:25" ht="14.5" x14ac:dyDescent="0.35">
      <c r="B422" s="203">
        <f t="shared" si="17"/>
        <v>410</v>
      </c>
      <c r="C422" s="204">
        <f t="shared" si="14"/>
        <v>0</v>
      </c>
      <c r="D422" s="204" t="str">
        <f t="shared" si="15"/>
        <v/>
      </c>
      <c r="E422" s="203" t="str">
        <f t="shared" si="16"/>
        <v/>
      </c>
      <c r="F422" s="260"/>
      <c r="G422" s="206"/>
      <c r="H422" s="264"/>
      <c r="I422" s="265"/>
      <c r="J422" s="253"/>
      <c r="K422" s="254"/>
      <c r="L422" s="258"/>
      <c r="N422" s="251"/>
      <c r="O422" s="251"/>
      <c r="P422" s="145"/>
      <c r="Q422" s="150"/>
      <c r="R422" s="150"/>
      <c r="S422" s="150"/>
      <c r="T422" s="150"/>
      <c r="U422" s="150"/>
      <c r="V422" s="150"/>
      <c r="W422" s="150"/>
      <c r="X422" s="150"/>
      <c r="Y422" s="150"/>
    </row>
    <row r="423" spans="2:25" ht="14.5" x14ac:dyDescent="0.35">
      <c r="B423" s="203">
        <f t="shared" si="17"/>
        <v>411</v>
      </c>
      <c r="C423" s="204">
        <f t="shared" si="14"/>
        <v>0</v>
      </c>
      <c r="D423" s="204" t="str">
        <f t="shared" si="15"/>
        <v/>
      </c>
      <c r="E423" s="203" t="str">
        <f t="shared" si="16"/>
        <v/>
      </c>
      <c r="F423" s="260"/>
      <c r="G423" s="206"/>
      <c r="H423" s="264"/>
      <c r="I423" s="265"/>
      <c r="J423" s="253"/>
      <c r="K423" s="254"/>
      <c r="L423" s="258"/>
      <c r="N423" s="251"/>
      <c r="O423" s="251"/>
      <c r="P423" s="145"/>
      <c r="Q423" s="150"/>
      <c r="R423" s="150"/>
      <c r="S423" s="150"/>
      <c r="T423" s="150"/>
      <c r="U423" s="150"/>
      <c r="V423" s="150"/>
      <c r="W423" s="150"/>
      <c r="X423" s="150"/>
      <c r="Y423" s="150"/>
    </row>
    <row r="424" spans="2:25" ht="14.5" x14ac:dyDescent="0.35">
      <c r="B424" s="203">
        <f t="shared" si="17"/>
        <v>412</v>
      </c>
      <c r="C424" s="204">
        <f t="shared" si="14"/>
        <v>0</v>
      </c>
      <c r="D424" s="204" t="str">
        <f t="shared" si="15"/>
        <v/>
      </c>
      <c r="E424" s="203" t="str">
        <f t="shared" si="16"/>
        <v/>
      </c>
      <c r="F424" s="260"/>
      <c r="G424" s="206"/>
      <c r="H424" s="264"/>
      <c r="I424" s="265"/>
      <c r="J424" s="253"/>
      <c r="K424" s="254"/>
      <c r="L424" s="258"/>
      <c r="N424" s="251"/>
      <c r="O424" s="251"/>
      <c r="P424" s="145"/>
      <c r="Q424" s="150"/>
      <c r="R424" s="150"/>
      <c r="S424" s="150"/>
      <c r="T424" s="150"/>
      <c r="U424" s="150"/>
      <c r="V424" s="150"/>
      <c r="W424" s="150"/>
      <c r="X424" s="150"/>
      <c r="Y424" s="150"/>
    </row>
    <row r="425" spans="2:25" ht="14.5" x14ac:dyDescent="0.35">
      <c r="B425" s="203">
        <f t="shared" si="17"/>
        <v>413</v>
      </c>
      <c r="C425" s="204">
        <f t="shared" si="14"/>
        <v>0</v>
      </c>
      <c r="D425" s="204" t="str">
        <f t="shared" si="15"/>
        <v/>
      </c>
      <c r="E425" s="203" t="str">
        <f t="shared" si="16"/>
        <v/>
      </c>
      <c r="F425" s="260"/>
      <c r="G425" s="206"/>
      <c r="H425" s="264"/>
      <c r="I425" s="265"/>
      <c r="J425" s="253"/>
      <c r="K425" s="254"/>
      <c r="L425" s="258"/>
      <c r="N425" s="251"/>
      <c r="O425" s="251"/>
      <c r="P425" s="145"/>
      <c r="Q425" s="150"/>
      <c r="R425" s="150"/>
      <c r="S425" s="150"/>
      <c r="T425" s="150"/>
      <c r="U425" s="150"/>
      <c r="V425" s="150"/>
      <c r="W425" s="150"/>
      <c r="X425" s="150"/>
      <c r="Y425" s="150"/>
    </row>
    <row r="426" spans="2:25" ht="14.5" x14ac:dyDescent="0.35">
      <c r="B426" s="203">
        <f t="shared" si="17"/>
        <v>414</v>
      </c>
      <c r="C426" s="204">
        <f t="shared" si="14"/>
        <v>0</v>
      </c>
      <c r="D426" s="204" t="str">
        <f t="shared" si="15"/>
        <v/>
      </c>
      <c r="E426" s="203" t="str">
        <f t="shared" si="16"/>
        <v/>
      </c>
      <c r="F426" s="260"/>
      <c r="G426" s="206"/>
      <c r="H426" s="264"/>
      <c r="I426" s="265"/>
      <c r="J426" s="253"/>
      <c r="K426" s="254"/>
      <c r="L426" s="258"/>
      <c r="N426" s="251"/>
      <c r="O426" s="251"/>
      <c r="P426" s="145"/>
      <c r="Q426" s="150"/>
      <c r="R426" s="150"/>
      <c r="S426" s="150"/>
      <c r="T426" s="150"/>
      <c r="U426" s="150"/>
      <c r="V426" s="150"/>
      <c r="W426" s="150"/>
      <c r="X426" s="150"/>
      <c r="Y426" s="150"/>
    </row>
    <row r="427" spans="2:25" ht="14.5" x14ac:dyDescent="0.35">
      <c r="B427" s="203">
        <f t="shared" si="17"/>
        <v>415</v>
      </c>
      <c r="C427" s="204">
        <f t="shared" si="14"/>
        <v>0</v>
      </c>
      <c r="D427" s="204" t="str">
        <f t="shared" si="15"/>
        <v/>
      </c>
      <c r="E427" s="203" t="str">
        <f t="shared" si="16"/>
        <v/>
      </c>
      <c r="F427" s="260"/>
      <c r="G427" s="206"/>
      <c r="H427" s="264"/>
      <c r="I427" s="265"/>
      <c r="J427" s="253"/>
      <c r="K427" s="254"/>
      <c r="L427" s="258"/>
      <c r="N427" s="251"/>
      <c r="O427" s="251"/>
      <c r="P427" s="145"/>
      <c r="Q427" s="150"/>
      <c r="R427" s="150"/>
      <c r="S427" s="150"/>
      <c r="T427" s="150"/>
      <c r="U427" s="150"/>
      <c r="V427" s="150"/>
      <c r="W427" s="150"/>
      <c r="X427" s="150"/>
      <c r="Y427" s="150"/>
    </row>
    <row r="428" spans="2:25" ht="14.5" x14ac:dyDescent="0.35">
      <c r="B428" s="203">
        <f t="shared" si="17"/>
        <v>416</v>
      </c>
      <c r="C428" s="204">
        <f t="shared" si="14"/>
        <v>0</v>
      </c>
      <c r="D428" s="204" t="str">
        <f t="shared" si="15"/>
        <v/>
      </c>
      <c r="E428" s="203" t="str">
        <f t="shared" si="16"/>
        <v/>
      </c>
      <c r="F428" s="260"/>
      <c r="G428" s="206"/>
      <c r="H428" s="264"/>
      <c r="I428" s="265"/>
      <c r="J428" s="253"/>
      <c r="K428" s="254"/>
      <c r="L428" s="258"/>
      <c r="N428" s="251"/>
      <c r="O428" s="251"/>
      <c r="P428" s="145"/>
      <c r="Q428" s="150"/>
      <c r="R428" s="150"/>
      <c r="S428" s="150"/>
      <c r="T428" s="150"/>
      <c r="U428" s="150"/>
      <c r="V428" s="150"/>
      <c r="W428" s="150"/>
      <c r="X428" s="150"/>
      <c r="Y428" s="150"/>
    </row>
    <row r="429" spans="2:25" ht="14.5" x14ac:dyDescent="0.35">
      <c r="B429" s="203">
        <f t="shared" si="17"/>
        <v>417</v>
      </c>
      <c r="C429" s="204">
        <f t="shared" si="14"/>
        <v>0</v>
      </c>
      <c r="D429" s="204" t="str">
        <f t="shared" si="15"/>
        <v/>
      </c>
      <c r="E429" s="203" t="str">
        <f t="shared" si="16"/>
        <v/>
      </c>
      <c r="F429" s="260"/>
      <c r="G429" s="206"/>
      <c r="H429" s="264"/>
      <c r="I429" s="265"/>
      <c r="J429" s="253"/>
      <c r="K429" s="254"/>
      <c r="L429" s="258"/>
      <c r="N429" s="251"/>
      <c r="O429" s="251"/>
      <c r="P429" s="145"/>
      <c r="Q429" s="150"/>
      <c r="R429" s="150"/>
      <c r="S429" s="150"/>
      <c r="T429" s="150"/>
      <c r="U429" s="150"/>
      <c r="V429" s="150"/>
      <c r="W429" s="150"/>
      <c r="X429" s="150"/>
      <c r="Y429" s="150"/>
    </row>
    <row r="430" spans="2:25" ht="14.5" x14ac:dyDescent="0.35">
      <c r="B430" s="203">
        <f t="shared" si="17"/>
        <v>418</v>
      </c>
      <c r="C430" s="204">
        <f t="shared" si="14"/>
        <v>0</v>
      </c>
      <c r="D430" s="204" t="str">
        <f t="shared" si="15"/>
        <v/>
      </c>
      <c r="E430" s="203" t="str">
        <f t="shared" si="16"/>
        <v/>
      </c>
      <c r="F430" s="260"/>
      <c r="G430" s="206"/>
      <c r="H430" s="264"/>
      <c r="I430" s="265"/>
      <c r="J430" s="253"/>
      <c r="K430" s="254"/>
      <c r="L430" s="258"/>
      <c r="N430" s="251"/>
      <c r="O430" s="251"/>
      <c r="P430" s="145"/>
      <c r="Q430" s="150"/>
      <c r="R430" s="150"/>
      <c r="S430" s="150"/>
      <c r="T430" s="150"/>
      <c r="U430" s="150"/>
      <c r="V430" s="150"/>
      <c r="W430" s="150"/>
      <c r="X430" s="150"/>
      <c r="Y430" s="150"/>
    </row>
    <row r="431" spans="2:25" ht="14.5" x14ac:dyDescent="0.35">
      <c r="B431" s="203">
        <f t="shared" si="17"/>
        <v>419</v>
      </c>
      <c r="C431" s="204">
        <f t="shared" si="14"/>
        <v>0</v>
      </c>
      <c r="D431" s="204" t="str">
        <f t="shared" si="15"/>
        <v/>
      </c>
      <c r="E431" s="203" t="str">
        <f t="shared" si="16"/>
        <v/>
      </c>
      <c r="F431" s="260"/>
      <c r="G431" s="206"/>
      <c r="H431" s="264"/>
      <c r="I431" s="265"/>
      <c r="J431" s="253"/>
      <c r="K431" s="254"/>
      <c r="L431" s="258"/>
      <c r="N431" s="251"/>
      <c r="O431" s="251"/>
      <c r="P431" s="145"/>
      <c r="Q431" s="150"/>
      <c r="R431" s="150"/>
      <c r="S431" s="150"/>
      <c r="T431" s="150"/>
      <c r="U431" s="150"/>
      <c r="V431" s="150"/>
      <c r="W431" s="150"/>
      <c r="X431" s="150"/>
      <c r="Y431" s="150"/>
    </row>
    <row r="432" spans="2:25" ht="14.5" x14ac:dyDescent="0.35">
      <c r="B432" s="203">
        <f t="shared" si="17"/>
        <v>420</v>
      </c>
      <c r="C432" s="204">
        <f t="shared" si="14"/>
        <v>0</v>
      </c>
      <c r="D432" s="204" t="str">
        <f t="shared" si="15"/>
        <v/>
      </c>
      <c r="E432" s="203" t="str">
        <f t="shared" si="16"/>
        <v/>
      </c>
      <c r="F432" s="260"/>
      <c r="G432" s="206"/>
      <c r="H432" s="264"/>
      <c r="I432" s="262"/>
      <c r="J432" s="253"/>
      <c r="K432" s="254"/>
      <c r="L432" s="258"/>
      <c r="N432" s="251"/>
      <c r="O432" s="251"/>
      <c r="P432" s="145"/>
      <c r="Q432" s="150"/>
      <c r="R432" s="150"/>
      <c r="S432" s="150"/>
      <c r="T432" s="150"/>
      <c r="U432" s="150"/>
      <c r="V432" s="150"/>
      <c r="W432" s="150"/>
      <c r="X432" s="150"/>
      <c r="Y432" s="150"/>
    </row>
    <row r="433" spans="2:25" ht="14.5" x14ac:dyDescent="0.35">
      <c r="B433" s="203">
        <f t="shared" si="17"/>
        <v>421</v>
      </c>
      <c r="C433" s="204">
        <f t="shared" si="14"/>
        <v>0</v>
      </c>
      <c r="D433" s="204" t="str">
        <f t="shared" si="15"/>
        <v/>
      </c>
      <c r="E433" s="203" t="str">
        <f t="shared" si="16"/>
        <v/>
      </c>
      <c r="F433" s="260"/>
      <c r="G433" s="206"/>
      <c r="H433" s="264"/>
      <c r="I433" s="265"/>
      <c r="J433" s="253"/>
      <c r="K433" s="254"/>
      <c r="L433" s="258"/>
      <c r="N433" s="251"/>
      <c r="O433" s="251"/>
      <c r="P433" s="145"/>
      <c r="Q433" s="150"/>
      <c r="R433" s="150"/>
      <c r="S433" s="150"/>
      <c r="T433" s="150"/>
      <c r="U433" s="150"/>
      <c r="V433" s="150"/>
      <c r="W433" s="150"/>
      <c r="X433" s="150"/>
      <c r="Y433" s="150"/>
    </row>
    <row r="434" spans="2:25" ht="14.5" x14ac:dyDescent="0.35">
      <c r="B434" s="203">
        <f t="shared" si="17"/>
        <v>422</v>
      </c>
      <c r="C434" s="204">
        <f t="shared" si="14"/>
        <v>0</v>
      </c>
      <c r="D434" s="204" t="str">
        <f t="shared" si="15"/>
        <v/>
      </c>
      <c r="E434" s="203" t="str">
        <f t="shared" si="16"/>
        <v/>
      </c>
      <c r="F434" s="260"/>
      <c r="G434" s="206"/>
      <c r="H434" s="264"/>
      <c r="I434" s="262"/>
      <c r="J434" s="253"/>
      <c r="K434" s="254"/>
      <c r="L434" s="258"/>
      <c r="N434" s="251"/>
      <c r="O434" s="251"/>
      <c r="P434" s="145"/>
      <c r="Q434" s="150"/>
      <c r="R434" s="150"/>
      <c r="S434" s="150"/>
      <c r="T434" s="150"/>
      <c r="U434" s="150"/>
      <c r="V434" s="150"/>
      <c r="W434" s="150"/>
      <c r="X434" s="150"/>
      <c r="Y434" s="150"/>
    </row>
    <row r="435" spans="2:25" ht="14.5" x14ac:dyDescent="0.35">
      <c r="B435" s="203">
        <f t="shared" si="17"/>
        <v>423</v>
      </c>
      <c r="C435" s="204">
        <f t="shared" si="14"/>
        <v>0</v>
      </c>
      <c r="D435" s="204" t="str">
        <f t="shared" si="15"/>
        <v/>
      </c>
      <c r="E435" s="203" t="str">
        <f t="shared" si="16"/>
        <v/>
      </c>
      <c r="F435" s="260"/>
      <c r="G435" s="206"/>
      <c r="H435" s="264"/>
      <c r="I435" s="262"/>
      <c r="J435" s="253"/>
      <c r="K435" s="254"/>
      <c r="L435" s="258"/>
      <c r="N435" s="251"/>
      <c r="O435" s="251"/>
      <c r="P435" s="145"/>
      <c r="Q435" s="150"/>
      <c r="R435" s="150"/>
      <c r="S435" s="150"/>
      <c r="T435" s="150"/>
      <c r="U435" s="150"/>
      <c r="V435" s="150"/>
      <c r="W435" s="150"/>
      <c r="X435" s="150"/>
      <c r="Y435" s="150"/>
    </row>
    <row r="436" spans="2:25" ht="14.5" x14ac:dyDescent="0.35">
      <c r="B436" s="203">
        <f t="shared" si="17"/>
        <v>424</v>
      </c>
      <c r="C436" s="204">
        <f t="shared" si="14"/>
        <v>0</v>
      </c>
      <c r="D436" s="204" t="str">
        <f t="shared" si="15"/>
        <v/>
      </c>
      <c r="E436" s="203" t="str">
        <f t="shared" si="16"/>
        <v/>
      </c>
      <c r="F436" s="260"/>
      <c r="G436" s="206"/>
      <c r="H436" s="264"/>
      <c r="I436" s="265"/>
      <c r="J436" s="253"/>
      <c r="K436" s="254"/>
      <c r="L436" s="258"/>
      <c r="N436" s="251"/>
      <c r="O436" s="251"/>
      <c r="P436" s="145"/>
      <c r="Q436" s="150"/>
      <c r="R436" s="150"/>
      <c r="S436" s="150"/>
      <c r="T436" s="150"/>
      <c r="U436" s="150"/>
      <c r="V436" s="150"/>
      <c r="W436" s="150"/>
      <c r="X436" s="150"/>
      <c r="Y436" s="150"/>
    </row>
    <row r="437" spans="2:25" ht="14.5" x14ac:dyDescent="0.35">
      <c r="B437" s="203">
        <f t="shared" si="17"/>
        <v>425</v>
      </c>
      <c r="C437" s="204">
        <f t="shared" si="14"/>
        <v>0</v>
      </c>
      <c r="D437" s="204" t="str">
        <f t="shared" si="15"/>
        <v/>
      </c>
      <c r="E437" s="203" t="str">
        <f t="shared" si="16"/>
        <v/>
      </c>
      <c r="F437" s="260"/>
      <c r="G437" s="206"/>
      <c r="H437" s="264"/>
      <c r="I437" s="265"/>
      <c r="J437" s="253"/>
      <c r="K437" s="254"/>
      <c r="L437" s="258"/>
      <c r="N437" s="251"/>
      <c r="O437" s="251"/>
      <c r="P437" s="145"/>
      <c r="Q437" s="150"/>
      <c r="R437" s="150"/>
      <c r="S437" s="150"/>
      <c r="T437" s="150"/>
      <c r="U437" s="150"/>
      <c r="V437" s="150"/>
      <c r="W437" s="150"/>
      <c r="X437" s="150"/>
      <c r="Y437" s="150"/>
    </row>
    <row r="438" spans="2:25" ht="14.5" x14ac:dyDescent="0.35">
      <c r="B438" s="203">
        <f t="shared" si="17"/>
        <v>426</v>
      </c>
      <c r="C438" s="204">
        <f t="shared" si="14"/>
        <v>0</v>
      </c>
      <c r="D438" s="204" t="str">
        <f t="shared" si="15"/>
        <v/>
      </c>
      <c r="E438" s="203" t="str">
        <f t="shared" si="16"/>
        <v/>
      </c>
      <c r="F438" s="260"/>
      <c r="G438" s="206"/>
      <c r="H438" s="264"/>
      <c r="I438" s="262"/>
      <c r="J438" s="253"/>
      <c r="K438" s="254"/>
      <c r="L438" s="258"/>
      <c r="N438" s="251"/>
      <c r="O438" s="251"/>
      <c r="P438" s="145"/>
      <c r="Q438" s="150"/>
      <c r="R438" s="150"/>
      <c r="S438" s="150"/>
      <c r="T438" s="150"/>
      <c r="U438" s="150"/>
      <c r="V438" s="150"/>
      <c r="W438" s="150"/>
      <c r="X438" s="150"/>
      <c r="Y438" s="150"/>
    </row>
    <row r="439" spans="2:25" ht="14.5" x14ac:dyDescent="0.35">
      <c r="B439" s="203">
        <f t="shared" si="17"/>
        <v>427</v>
      </c>
      <c r="C439" s="204">
        <f t="shared" si="14"/>
        <v>0</v>
      </c>
      <c r="D439" s="204" t="str">
        <f t="shared" si="15"/>
        <v/>
      </c>
      <c r="E439" s="203" t="str">
        <f t="shared" si="16"/>
        <v/>
      </c>
      <c r="F439" s="260"/>
      <c r="G439" s="206"/>
      <c r="H439" s="264"/>
      <c r="I439" s="262"/>
      <c r="J439" s="253"/>
      <c r="K439" s="254"/>
      <c r="L439" s="258"/>
      <c r="N439" s="251"/>
      <c r="O439" s="251"/>
      <c r="P439" s="145"/>
      <c r="Q439" s="150"/>
      <c r="R439" s="150"/>
      <c r="S439" s="150"/>
      <c r="T439" s="150"/>
      <c r="U439" s="150"/>
      <c r="V439" s="150"/>
      <c r="W439" s="150"/>
      <c r="X439" s="150"/>
      <c r="Y439" s="150"/>
    </row>
    <row r="440" spans="2:25" ht="14.5" x14ac:dyDescent="0.35">
      <c r="B440" s="203">
        <f t="shared" si="17"/>
        <v>428</v>
      </c>
      <c r="C440" s="204">
        <f t="shared" si="14"/>
        <v>0</v>
      </c>
      <c r="D440" s="204" t="str">
        <f t="shared" si="15"/>
        <v/>
      </c>
      <c r="E440" s="203" t="str">
        <f t="shared" si="16"/>
        <v/>
      </c>
      <c r="F440" s="260"/>
      <c r="G440" s="206"/>
      <c r="H440" s="264"/>
      <c r="I440" s="262"/>
      <c r="J440" s="253"/>
      <c r="K440" s="254"/>
      <c r="L440" s="258"/>
      <c r="N440" s="251"/>
      <c r="O440" s="251"/>
      <c r="P440" s="145"/>
      <c r="Q440" s="150"/>
      <c r="R440" s="150"/>
      <c r="S440" s="150"/>
      <c r="T440" s="150"/>
      <c r="U440" s="150"/>
      <c r="V440" s="150"/>
      <c r="W440" s="150"/>
      <c r="X440" s="150"/>
      <c r="Y440" s="150"/>
    </row>
    <row r="441" spans="2:25" ht="14.5" x14ac:dyDescent="0.35">
      <c r="B441" s="203">
        <f t="shared" si="17"/>
        <v>429</v>
      </c>
      <c r="C441" s="204">
        <f t="shared" si="14"/>
        <v>0</v>
      </c>
      <c r="D441" s="204" t="str">
        <f t="shared" si="15"/>
        <v/>
      </c>
      <c r="E441" s="203" t="str">
        <f t="shared" si="16"/>
        <v/>
      </c>
      <c r="F441" s="260"/>
      <c r="G441" s="206"/>
      <c r="H441" s="264"/>
      <c r="I441" s="262"/>
      <c r="J441" s="253"/>
      <c r="K441" s="254"/>
      <c r="L441" s="258"/>
      <c r="N441" s="251"/>
      <c r="O441" s="251"/>
      <c r="P441" s="145"/>
      <c r="Q441" s="150"/>
      <c r="R441" s="150"/>
      <c r="S441" s="150"/>
      <c r="T441" s="150"/>
      <c r="U441" s="150"/>
      <c r="V441" s="150"/>
      <c r="W441" s="150"/>
      <c r="X441" s="150"/>
      <c r="Y441" s="150"/>
    </row>
    <row r="442" spans="2:25" ht="14.5" x14ac:dyDescent="0.35">
      <c r="B442" s="203">
        <f t="shared" si="17"/>
        <v>430</v>
      </c>
      <c r="C442" s="204">
        <f t="shared" si="14"/>
        <v>0</v>
      </c>
      <c r="D442" s="204" t="str">
        <f t="shared" si="15"/>
        <v/>
      </c>
      <c r="E442" s="203" t="str">
        <f t="shared" si="16"/>
        <v/>
      </c>
      <c r="F442" s="260"/>
      <c r="G442" s="206"/>
      <c r="H442" s="264"/>
      <c r="I442" s="262"/>
      <c r="J442" s="253"/>
      <c r="K442" s="254"/>
      <c r="L442" s="258"/>
      <c r="N442" s="251"/>
      <c r="O442" s="251"/>
      <c r="P442" s="145"/>
      <c r="Q442" s="150"/>
      <c r="R442" s="150"/>
      <c r="S442" s="150"/>
      <c r="T442" s="150"/>
      <c r="U442" s="150"/>
      <c r="V442" s="150"/>
      <c r="W442" s="150"/>
      <c r="X442" s="150"/>
      <c r="Y442" s="150"/>
    </row>
    <row r="443" spans="2:25" ht="14.5" x14ac:dyDescent="0.35">
      <c r="B443" s="203">
        <f t="shared" si="17"/>
        <v>431</v>
      </c>
      <c r="C443" s="204">
        <f t="shared" si="14"/>
        <v>0</v>
      </c>
      <c r="D443" s="204" t="str">
        <f t="shared" si="15"/>
        <v/>
      </c>
      <c r="E443" s="203" t="str">
        <f t="shared" si="16"/>
        <v/>
      </c>
      <c r="F443" s="260"/>
      <c r="G443" s="206"/>
      <c r="H443" s="264"/>
      <c r="I443" s="262"/>
      <c r="J443" s="253"/>
      <c r="K443" s="254"/>
      <c r="L443" s="258"/>
      <c r="N443" s="251"/>
      <c r="O443" s="251"/>
      <c r="P443" s="145"/>
      <c r="Q443" s="150"/>
      <c r="R443" s="150"/>
      <c r="S443" s="150"/>
      <c r="T443" s="150"/>
      <c r="U443" s="150"/>
      <c r="V443" s="150"/>
      <c r="W443" s="150"/>
      <c r="X443" s="150"/>
      <c r="Y443" s="150"/>
    </row>
    <row r="444" spans="2:25" ht="14.5" x14ac:dyDescent="0.35">
      <c r="B444" s="203">
        <f t="shared" si="17"/>
        <v>432</v>
      </c>
      <c r="C444" s="204">
        <f t="shared" si="14"/>
        <v>0</v>
      </c>
      <c r="D444" s="204" t="str">
        <f t="shared" si="15"/>
        <v/>
      </c>
      <c r="E444" s="203" t="str">
        <f t="shared" si="16"/>
        <v/>
      </c>
      <c r="F444" s="260"/>
      <c r="G444" s="206"/>
      <c r="H444" s="264"/>
      <c r="I444" s="262"/>
      <c r="J444" s="253"/>
      <c r="K444" s="254"/>
      <c r="L444" s="258"/>
      <c r="N444" s="251"/>
      <c r="O444" s="251"/>
      <c r="P444" s="145"/>
      <c r="Q444" s="150"/>
      <c r="R444" s="150"/>
      <c r="S444" s="150"/>
      <c r="T444" s="150"/>
      <c r="U444" s="150"/>
      <c r="V444" s="150"/>
      <c r="W444" s="150"/>
      <c r="X444" s="150"/>
      <c r="Y444" s="150"/>
    </row>
    <row r="445" spans="2:25" ht="14.5" x14ac:dyDescent="0.35">
      <c r="B445" s="203">
        <f t="shared" si="17"/>
        <v>433</v>
      </c>
      <c r="C445" s="204">
        <f t="shared" si="14"/>
        <v>0</v>
      </c>
      <c r="D445" s="204" t="str">
        <f t="shared" si="15"/>
        <v/>
      </c>
      <c r="E445" s="203" t="str">
        <f t="shared" si="16"/>
        <v/>
      </c>
      <c r="F445" s="260"/>
      <c r="G445" s="206"/>
      <c r="H445" s="264"/>
      <c r="I445" s="262"/>
      <c r="J445" s="253"/>
      <c r="K445" s="254"/>
      <c r="L445" s="258"/>
      <c r="N445" s="251"/>
      <c r="O445" s="251"/>
      <c r="P445" s="145"/>
      <c r="Q445" s="150"/>
      <c r="R445" s="150"/>
      <c r="S445" s="150"/>
      <c r="T445" s="150"/>
      <c r="U445" s="150"/>
      <c r="V445" s="150"/>
      <c r="W445" s="150"/>
      <c r="X445" s="150"/>
      <c r="Y445" s="150"/>
    </row>
    <row r="446" spans="2:25" ht="14.5" x14ac:dyDescent="0.35">
      <c r="B446" s="203">
        <f t="shared" si="17"/>
        <v>434</v>
      </c>
      <c r="C446" s="204">
        <f t="shared" si="14"/>
        <v>0</v>
      </c>
      <c r="D446" s="204" t="str">
        <f t="shared" si="15"/>
        <v/>
      </c>
      <c r="E446" s="203" t="str">
        <f t="shared" si="16"/>
        <v/>
      </c>
      <c r="F446" s="260"/>
      <c r="G446" s="206"/>
      <c r="H446" s="264"/>
      <c r="I446" s="262"/>
      <c r="J446" s="253"/>
      <c r="K446" s="254"/>
      <c r="L446" s="258"/>
      <c r="N446" s="251"/>
      <c r="O446" s="251"/>
      <c r="P446" s="145"/>
      <c r="Q446" s="150"/>
      <c r="R446" s="150"/>
      <c r="S446" s="150"/>
      <c r="T446" s="150"/>
      <c r="U446" s="150"/>
      <c r="V446" s="150"/>
      <c r="W446" s="150"/>
      <c r="X446" s="150"/>
      <c r="Y446" s="150"/>
    </row>
    <row r="447" spans="2:25" ht="14.5" x14ac:dyDescent="0.35">
      <c r="B447" s="203">
        <f t="shared" si="17"/>
        <v>435</v>
      </c>
      <c r="C447" s="204">
        <f t="shared" si="14"/>
        <v>0</v>
      </c>
      <c r="D447" s="204" t="str">
        <f t="shared" si="15"/>
        <v/>
      </c>
      <c r="E447" s="203" t="str">
        <f t="shared" si="16"/>
        <v/>
      </c>
      <c r="F447" s="260"/>
      <c r="G447" s="206"/>
      <c r="H447" s="261"/>
      <c r="I447" s="262"/>
      <c r="J447" s="263"/>
      <c r="K447" s="254"/>
      <c r="L447" s="258"/>
      <c r="N447" s="251"/>
      <c r="O447" s="251"/>
      <c r="P447" s="145"/>
      <c r="Q447" s="150"/>
      <c r="R447" s="150"/>
      <c r="S447" s="150"/>
      <c r="T447" s="150"/>
      <c r="U447" s="150"/>
      <c r="V447" s="150"/>
      <c r="W447" s="150"/>
      <c r="X447" s="150"/>
      <c r="Y447" s="150"/>
    </row>
    <row r="448" spans="2:25" ht="14.5" x14ac:dyDescent="0.35">
      <c r="B448" s="203">
        <f t="shared" si="17"/>
        <v>436</v>
      </c>
      <c r="C448" s="204">
        <f t="shared" si="14"/>
        <v>0</v>
      </c>
      <c r="D448" s="204" t="str">
        <f t="shared" si="15"/>
        <v/>
      </c>
      <c r="E448" s="203" t="str">
        <f t="shared" si="16"/>
        <v/>
      </c>
      <c r="F448" s="260"/>
      <c r="G448" s="206"/>
      <c r="H448" s="264"/>
      <c r="I448" s="262"/>
      <c r="J448" s="253"/>
      <c r="K448" s="254"/>
      <c r="L448" s="258"/>
      <c r="N448" s="251"/>
      <c r="O448" s="251"/>
      <c r="P448" s="145"/>
      <c r="Q448" s="150"/>
      <c r="R448" s="150"/>
      <c r="S448" s="150"/>
      <c r="T448" s="150"/>
      <c r="U448" s="150"/>
      <c r="V448" s="150"/>
      <c r="W448" s="150"/>
      <c r="X448" s="150"/>
      <c r="Y448" s="150"/>
    </row>
    <row r="449" spans="2:25" ht="14.5" x14ac:dyDescent="0.35">
      <c r="B449" s="203">
        <f t="shared" si="17"/>
        <v>437</v>
      </c>
      <c r="C449" s="204">
        <f t="shared" si="14"/>
        <v>0</v>
      </c>
      <c r="D449" s="204" t="str">
        <f t="shared" si="15"/>
        <v/>
      </c>
      <c r="E449" s="203" t="str">
        <f t="shared" si="16"/>
        <v/>
      </c>
      <c r="F449" s="260"/>
      <c r="G449" s="206"/>
      <c r="H449" s="264"/>
      <c r="I449" s="262"/>
      <c r="J449" s="253"/>
      <c r="K449" s="254"/>
      <c r="L449" s="258"/>
      <c r="N449" s="251"/>
      <c r="O449" s="251"/>
      <c r="P449" s="145"/>
      <c r="Q449" s="150"/>
      <c r="R449" s="150"/>
      <c r="S449" s="150"/>
      <c r="T449" s="150"/>
      <c r="U449" s="150"/>
      <c r="V449" s="150"/>
      <c r="W449" s="150"/>
      <c r="X449" s="150"/>
      <c r="Y449" s="150"/>
    </row>
    <row r="450" spans="2:25" ht="14.5" x14ac:dyDescent="0.35">
      <c r="B450" s="203">
        <f t="shared" si="17"/>
        <v>438</v>
      </c>
      <c r="C450" s="204">
        <f t="shared" si="14"/>
        <v>0</v>
      </c>
      <c r="D450" s="204" t="str">
        <f t="shared" si="15"/>
        <v/>
      </c>
      <c r="E450" s="203" t="str">
        <f t="shared" si="16"/>
        <v/>
      </c>
      <c r="F450" s="260"/>
      <c r="G450" s="206"/>
      <c r="H450" s="264"/>
      <c r="I450" s="262"/>
      <c r="J450" s="253"/>
      <c r="K450" s="254"/>
      <c r="L450" s="258"/>
      <c r="N450" s="251"/>
      <c r="O450" s="251"/>
      <c r="P450" s="145"/>
      <c r="Q450" s="150"/>
      <c r="R450" s="150"/>
      <c r="S450" s="150"/>
      <c r="T450" s="150"/>
      <c r="U450" s="150"/>
      <c r="V450" s="150"/>
      <c r="W450" s="150"/>
      <c r="X450" s="150"/>
      <c r="Y450" s="150"/>
    </row>
    <row r="451" spans="2:25" ht="14.5" x14ac:dyDescent="0.35">
      <c r="B451" s="203">
        <f t="shared" si="17"/>
        <v>439</v>
      </c>
      <c r="C451" s="204">
        <f t="shared" si="14"/>
        <v>0</v>
      </c>
      <c r="D451" s="204" t="str">
        <f t="shared" si="15"/>
        <v/>
      </c>
      <c r="E451" s="203" t="str">
        <f t="shared" si="16"/>
        <v/>
      </c>
      <c r="F451" s="260"/>
      <c r="G451" s="206"/>
      <c r="H451" s="264"/>
      <c r="I451" s="262"/>
      <c r="J451" s="253"/>
      <c r="K451" s="254"/>
      <c r="L451" s="258"/>
      <c r="N451" s="251"/>
      <c r="O451" s="251"/>
      <c r="P451" s="145"/>
      <c r="Q451" s="150"/>
      <c r="R451" s="150"/>
      <c r="S451" s="150"/>
      <c r="T451" s="150"/>
      <c r="U451" s="150"/>
      <c r="V451" s="150"/>
      <c r="W451" s="150"/>
      <c r="X451" s="150"/>
      <c r="Y451" s="150"/>
    </row>
    <row r="452" spans="2:25" ht="14.5" x14ac:dyDescent="0.35">
      <c r="B452" s="203">
        <f t="shared" si="17"/>
        <v>440</v>
      </c>
      <c r="C452" s="204">
        <f t="shared" si="14"/>
        <v>0</v>
      </c>
      <c r="D452" s="204" t="str">
        <f t="shared" si="15"/>
        <v/>
      </c>
      <c r="E452" s="203" t="str">
        <f t="shared" si="16"/>
        <v/>
      </c>
      <c r="F452" s="260"/>
      <c r="G452" s="206"/>
      <c r="H452" s="264"/>
      <c r="I452" s="262"/>
      <c r="J452" s="253"/>
      <c r="K452" s="254"/>
      <c r="L452" s="258"/>
      <c r="N452" s="251"/>
      <c r="O452" s="251"/>
      <c r="P452" s="145"/>
      <c r="Q452" s="150"/>
      <c r="R452" s="150"/>
      <c r="S452" s="150"/>
      <c r="T452" s="150"/>
      <c r="U452" s="150"/>
      <c r="V452" s="150"/>
      <c r="W452" s="150"/>
      <c r="X452" s="150"/>
      <c r="Y452" s="150"/>
    </row>
    <row r="453" spans="2:25" ht="14.5" x14ac:dyDescent="0.35">
      <c r="B453" s="203">
        <f t="shared" si="17"/>
        <v>441</v>
      </c>
      <c r="C453" s="204">
        <f t="shared" si="14"/>
        <v>0</v>
      </c>
      <c r="D453" s="204" t="str">
        <f t="shared" si="15"/>
        <v/>
      </c>
      <c r="E453" s="203" t="str">
        <f t="shared" si="16"/>
        <v/>
      </c>
      <c r="F453" s="260"/>
      <c r="G453" s="206"/>
      <c r="H453" s="264"/>
      <c r="I453" s="262"/>
      <c r="J453" s="253"/>
      <c r="K453" s="254"/>
      <c r="L453" s="258"/>
      <c r="N453" s="251"/>
      <c r="O453" s="251"/>
      <c r="P453" s="145"/>
      <c r="Q453" s="150"/>
      <c r="R453" s="150"/>
      <c r="S453" s="150"/>
      <c r="T453" s="150"/>
      <c r="U453" s="150"/>
      <c r="V453" s="150"/>
      <c r="W453" s="150"/>
      <c r="X453" s="150"/>
      <c r="Y453" s="150"/>
    </row>
    <row r="454" spans="2:25" ht="14.5" x14ac:dyDescent="0.35">
      <c r="B454" s="203">
        <f t="shared" si="17"/>
        <v>442</v>
      </c>
      <c r="C454" s="204">
        <f t="shared" si="14"/>
        <v>0</v>
      </c>
      <c r="D454" s="204" t="str">
        <f t="shared" si="15"/>
        <v/>
      </c>
      <c r="E454" s="203" t="str">
        <f t="shared" si="16"/>
        <v/>
      </c>
      <c r="F454" s="260"/>
      <c r="G454" s="206"/>
      <c r="H454" s="264"/>
      <c r="I454" s="262"/>
      <c r="J454" s="253"/>
      <c r="K454" s="254"/>
      <c r="L454" s="258"/>
      <c r="N454" s="251"/>
      <c r="O454" s="251"/>
      <c r="P454" s="145"/>
      <c r="Q454" s="150"/>
      <c r="R454" s="150"/>
      <c r="S454" s="150"/>
      <c r="T454" s="150"/>
      <c r="U454" s="150"/>
      <c r="V454" s="150"/>
      <c r="W454" s="150"/>
      <c r="X454" s="150"/>
      <c r="Y454" s="150"/>
    </row>
    <row r="455" spans="2:25" ht="14.5" x14ac:dyDescent="0.35">
      <c r="B455" s="203">
        <f t="shared" si="17"/>
        <v>443</v>
      </c>
      <c r="C455" s="204">
        <f t="shared" si="14"/>
        <v>0</v>
      </c>
      <c r="D455" s="204" t="str">
        <f t="shared" si="15"/>
        <v/>
      </c>
      <c r="E455" s="203" t="str">
        <f t="shared" si="16"/>
        <v/>
      </c>
      <c r="F455" s="260"/>
      <c r="G455" s="206"/>
      <c r="H455" s="264"/>
      <c r="I455" s="262"/>
      <c r="J455" s="253"/>
      <c r="K455" s="254"/>
      <c r="L455" s="258"/>
      <c r="N455" s="251"/>
      <c r="O455" s="251"/>
      <c r="P455" s="145"/>
      <c r="Q455" s="150"/>
      <c r="R455" s="150"/>
      <c r="S455" s="150"/>
      <c r="T455" s="150"/>
      <c r="U455" s="150"/>
      <c r="V455" s="150"/>
      <c r="W455" s="150"/>
      <c r="X455" s="150"/>
      <c r="Y455" s="150"/>
    </row>
    <row r="456" spans="2:25" ht="14.5" x14ac:dyDescent="0.35">
      <c r="B456" s="203">
        <f t="shared" si="17"/>
        <v>444</v>
      </c>
      <c r="C456" s="204">
        <f t="shared" si="14"/>
        <v>0</v>
      </c>
      <c r="D456" s="204" t="str">
        <f t="shared" si="15"/>
        <v/>
      </c>
      <c r="E456" s="203" t="str">
        <f t="shared" si="16"/>
        <v/>
      </c>
      <c r="F456" s="260"/>
      <c r="G456" s="206"/>
      <c r="H456" s="264"/>
      <c r="I456" s="262"/>
      <c r="J456" s="253"/>
      <c r="K456" s="254"/>
      <c r="L456" s="258"/>
      <c r="N456" s="251"/>
      <c r="O456" s="251"/>
      <c r="P456" s="145"/>
      <c r="Q456" s="150"/>
      <c r="R456" s="150"/>
      <c r="S456" s="150"/>
      <c r="T456" s="150"/>
      <c r="U456" s="150"/>
      <c r="V456" s="150"/>
      <c r="W456" s="150"/>
      <c r="X456" s="150"/>
      <c r="Y456" s="150"/>
    </row>
    <row r="457" spans="2:25" ht="14.5" x14ac:dyDescent="0.35">
      <c r="B457" s="203">
        <f t="shared" si="17"/>
        <v>445</v>
      </c>
      <c r="C457" s="204">
        <f t="shared" si="14"/>
        <v>0</v>
      </c>
      <c r="D457" s="204" t="str">
        <f t="shared" si="15"/>
        <v/>
      </c>
      <c r="E457" s="203" t="str">
        <f t="shared" si="16"/>
        <v/>
      </c>
      <c r="F457" s="260"/>
      <c r="G457" s="206"/>
      <c r="H457" s="261"/>
      <c r="I457" s="262"/>
      <c r="J457" s="263"/>
      <c r="K457" s="254"/>
      <c r="L457" s="258"/>
      <c r="N457" s="251"/>
      <c r="O457" s="251"/>
      <c r="P457" s="145"/>
      <c r="Q457" s="150"/>
      <c r="R457" s="150"/>
      <c r="S457" s="150"/>
      <c r="T457" s="150"/>
      <c r="U457" s="150"/>
      <c r="V457" s="150"/>
      <c r="W457" s="150"/>
      <c r="X457" s="150"/>
      <c r="Y457" s="150"/>
    </row>
    <row r="458" spans="2:25" ht="14.5" x14ac:dyDescent="0.35">
      <c r="B458" s="203">
        <f t="shared" si="17"/>
        <v>446</v>
      </c>
      <c r="C458" s="204">
        <f t="shared" si="14"/>
        <v>0</v>
      </c>
      <c r="D458" s="204" t="str">
        <f t="shared" si="15"/>
        <v/>
      </c>
      <c r="E458" s="203" t="str">
        <f t="shared" si="16"/>
        <v/>
      </c>
      <c r="F458" s="260"/>
      <c r="G458" s="206"/>
      <c r="H458" s="261"/>
      <c r="I458" s="262"/>
      <c r="J458" s="263"/>
      <c r="K458" s="254"/>
      <c r="L458" s="258"/>
      <c r="N458" s="251"/>
      <c r="O458" s="251"/>
      <c r="P458" s="145"/>
      <c r="Q458" s="150"/>
      <c r="R458" s="150"/>
      <c r="S458" s="150"/>
      <c r="T458" s="150"/>
      <c r="U458" s="150"/>
      <c r="V458" s="150"/>
      <c r="W458" s="150"/>
      <c r="X458" s="150"/>
      <c r="Y458" s="150"/>
    </row>
    <row r="459" spans="2:25" ht="14.5" x14ac:dyDescent="0.35">
      <c r="B459" s="203">
        <f t="shared" si="17"/>
        <v>447</v>
      </c>
      <c r="C459" s="204">
        <f t="shared" si="14"/>
        <v>0</v>
      </c>
      <c r="D459" s="204" t="str">
        <f t="shared" si="15"/>
        <v/>
      </c>
      <c r="E459" s="203" t="str">
        <f t="shared" si="16"/>
        <v/>
      </c>
      <c r="F459" s="260"/>
      <c r="G459" s="206"/>
      <c r="H459" s="264"/>
      <c r="I459" s="262"/>
      <c r="J459" s="253"/>
      <c r="K459" s="254"/>
      <c r="L459" s="258"/>
      <c r="N459" s="251"/>
      <c r="O459" s="251"/>
      <c r="P459" s="145"/>
      <c r="Q459" s="150"/>
      <c r="R459" s="150"/>
      <c r="S459" s="150"/>
      <c r="T459" s="150"/>
      <c r="U459" s="150"/>
      <c r="V459" s="150"/>
      <c r="W459" s="150"/>
      <c r="X459" s="150"/>
      <c r="Y459" s="150"/>
    </row>
    <row r="460" spans="2:25" ht="14.5" x14ac:dyDescent="0.35">
      <c r="B460" s="203">
        <f t="shared" si="17"/>
        <v>448</v>
      </c>
      <c r="C460" s="204">
        <f t="shared" si="14"/>
        <v>0</v>
      </c>
      <c r="D460" s="204" t="str">
        <f t="shared" si="15"/>
        <v/>
      </c>
      <c r="E460" s="203" t="str">
        <f t="shared" si="16"/>
        <v/>
      </c>
      <c r="F460" s="260"/>
      <c r="G460" s="206"/>
      <c r="H460" s="264"/>
      <c r="I460" s="262"/>
      <c r="J460" s="253"/>
      <c r="K460" s="254"/>
      <c r="L460" s="258"/>
      <c r="N460" s="251"/>
      <c r="O460" s="251"/>
      <c r="P460" s="145"/>
      <c r="Q460" s="150"/>
      <c r="R460" s="150"/>
      <c r="S460" s="150"/>
      <c r="T460" s="150"/>
      <c r="U460" s="150"/>
      <c r="V460" s="150"/>
      <c r="W460" s="150"/>
      <c r="X460" s="150"/>
      <c r="Y460" s="150"/>
    </row>
    <row r="461" spans="2:25" ht="14.5" x14ac:dyDescent="0.35">
      <c r="B461" s="203">
        <f t="shared" si="17"/>
        <v>449</v>
      </c>
      <c r="C461" s="204">
        <f t="shared" ref="C461:C524" si="18">IFERROR(DAY(F461),0)</f>
        <v>0</v>
      </c>
      <c r="D461" s="204" t="str">
        <f t="shared" ref="D461:D524" si="19">IFERROR(IF(F461="","",TEXT(DATE(0,MONTH(F461),1),"MMM")),"date issue")</f>
        <v/>
      </c>
      <c r="E461" s="203" t="str">
        <f t="shared" ref="E461:E524" si="20">IFERROR(IF(OR(C461=1,C461=2,C461=3,C461=4,C461=5,C461=6,C461=7),1,IF(OR(C461=8,C461=9,C461=10,C461=11,C461=12,C461=13,C461=14),2,IF(OR(C461=15,C461=16,C461=17,C461=18,C461=19,C461=20,C461=21),3,IF(OR(C461=22,C461=23,C461=24,C461=25,C461=26,C461=27,C461=28),4,IF(OR(C461=29,C461=30,C461=31),5,""))))),0)</f>
        <v/>
      </c>
      <c r="F461" s="260"/>
      <c r="G461" s="206"/>
      <c r="H461" s="264"/>
      <c r="I461" s="262"/>
      <c r="J461" s="253"/>
      <c r="K461" s="254"/>
      <c r="L461" s="258"/>
      <c r="N461" s="251"/>
      <c r="O461" s="251"/>
      <c r="P461" s="145"/>
      <c r="Q461" s="150"/>
      <c r="R461" s="150"/>
      <c r="S461" s="150"/>
      <c r="T461" s="150"/>
      <c r="U461" s="150"/>
      <c r="V461" s="150"/>
      <c r="W461" s="150"/>
      <c r="X461" s="150"/>
      <c r="Y461" s="150"/>
    </row>
    <row r="462" spans="2:25" ht="14.5" x14ac:dyDescent="0.35">
      <c r="B462" s="203">
        <f t="shared" si="17"/>
        <v>450</v>
      </c>
      <c r="C462" s="204">
        <f t="shared" si="18"/>
        <v>0</v>
      </c>
      <c r="D462" s="204" t="str">
        <f t="shared" si="19"/>
        <v/>
      </c>
      <c r="E462" s="203" t="str">
        <f t="shared" si="20"/>
        <v/>
      </c>
      <c r="F462" s="260"/>
      <c r="G462" s="206"/>
      <c r="H462" s="264"/>
      <c r="I462" s="262"/>
      <c r="J462" s="253"/>
      <c r="K462" s="254"/>
      <c r="L462" s="258"/>
      <c r="N462" s="251"/>
      <c r="O462" s="251"/>
      <c r="P462" s="145"/>
      <c r="Q462" s="150"/>
      <c r="R462" s="150"/>
      <c r="S462" s="150"/>
      <c r="T462" s="150"/>
      <c r="U462" s="150"/>
      <c r="V462" s="150"/>
      <c r="W462" s="150"/>
      <c r="X462" s="150"/>
      <c r="Y462" s="150"/>
    </row>
    <row r="463" spans="2:25" ht="14.5" x14ac:dyDescent="0.35">
      <c r="B463" s="203">
        <f t="shared" si="17"/>
        <v>451</v>
      </c>
      <c r="C463" s="204">
        <f t="shared" si="18"/>
        <v>0</v>
      </c>
      <c r="D463" s="204" t="str">
        <f t="shared" si="19"/>
        <v/>
      </c>
      <c r="E463" s="203" t="str">
        <f t="shared" si="20"/>
        <v/>
      </c>
      <c r="F463" s="260"/>
      <c r="G463" s="206"/>
      <c r="H463" s="264"/>
      <c r="I463" s="262"/>
      <c r="J463" s="253"/>
      <c r="K463" s="254"/>
      <c r="L463" s="258"/>
      <c r="N463" s="251"/>
      <c r="O463" s="251"/>
      <c r="P463" s="145"/>
      <c r="Q463" s="150"/>
      <c r="R463" s="150"/>
      <c r="S463" s="150"/>
      <c r="T463" s="150"/>
      <c r="U463" s="150"/>
      <c r="V463" s="150"/>
      <c r="W463" s="150"/>
      <c r="X463" s="150"/>
      <c r="Y463" s="150"/>
    </row>
    <row r="464" spans="2:25" ht="14.5" x14ac:dyDescent="0.35">
      <c r="B464" s="203">
        <f t="shared" si="17"/>
        <v>452</v>
      </c>
      <c r="C464" s="204">
        <f t="shared" si="18"/>
        <v>0</v>
      </c>
      <c r="D464" s="204" t="str">
        <f t="shared" si="19"/>
        <v/>
      </c>
      <c r="E464" s="203" t="str">
        <f t="shared" si="20"/>
        <v/>
      </c>
      <c r="F464" s="260"/>
      <c r="G464" s="206"/>
      <c r="H464" s="264"/>
      <c r="I464" s="262"/>
      <c r="J464" s="253"/>
      <c r="K464" s="254"/>
      <c r="L464" s="258"/>
      <c r="N464" s="251"/>
      <c r="O464" s="251"/>
      <c r="P464" s="145"/>
      <c r="Q464" s="150"/>
      <c r="R464" s="150"/>
      <c r="S464" s="150"/>
      <c r="T464" s="150"/>
      <c r="U464" s="150"/>
      <c r="V464" s="150"/>
      <c r="W464" s="150"/>
      <c r="X464" s="150"/>
      <c r="Y464" s="150"/>
    </row>
    <row r="465" spans="2:25" ht="14.5" x14ac:dyDescent="0.35">
      <c r="B465" s="203">
        <f t="shared" si="17"/>
        <v>453</v>
      </c>
      <c r="C465" s="204">
        <f t="shared" si="18"/>
        <v>0</v>
      </c>
      <c r="D465" s="204" t="str">
        <f t="shared" si="19"/>
        <v/>
      </c>
      <c r="E465" s="203" t="str">
        <f t="shared" si="20"/>
        <v/>
      </c>
      <c r="F465" s="260"/>
      <c r="G465" s="206"/>
      <c r="H465" s="264"/>
      <c r="I465" s="262"/>
      <c r="J465" s="253"/>
      <c r="K465" s="254"/>
      <c r="L465" s="258"/>
      <c r="N465" s="251"/>
      <c r="O465" s="251"/>
      <c r="P465" s="145"/>
      <c r="Q465" s="150"/>
      <c r="R465" s="150"/>
      <c r="S465" s="150"/>
      <c r="T465" s="150"/>
      <c r="U465" s="150"/>
      <c r="V465" s="150"/>
      <c r="W465" s="150"/>
      <c r="X465" s="150"/>
      <c r="Y465" s="150"/>
    </row>
    <row r="466" spans="2:25" ht="14.5" x14ac:dyDescent="0.35">
      <c r="B466" s="203">
        <f t="shared" si="17"/>
        <v>454</v>
      </c>
      <c r="C466" s="204">
        <f t="shared" si="18"/>
        <v>0</v>
      </c>
      <c r="D466" s="204" t="str">
        <f t="shared" si="19"/>
        <v/>
      </c>
      <c r="E466" s="203" t="str">
        <f t="shared" si="20"/>
        <v/>
      </c>
      <c r="F466" s="260"/>
      <c r="G466" s="206"/>
      <c r="H466" s="261"/>
      <c r="I466" s="262"/>
      <c r="J466" s="263"/>
      <c r="K466" s="254"/>
      <c r="L466" s="258"/>
      <c r="N466" s="251"/>
      <c r="O466" s="251"/>
      <c r="P466" s="145"/>
      <c r="Q466" s="150"/>
      <c r="R466" s="150"/>
      <c r="S466" s="150"/>
      <c r="T466" s="150"/>
      <c r="U466" s="150"/>
      <c r="V466" s="150"/>
      <c r="W466" s="150"/>
      <c r="X466" s="150"/>
      <c r="Y466" s="150"/>
    </row>
    <row r="467" spans="2:25" ht="14.5" x14ac:dyDescent="0.35">
      <c r="B467" s="203">
        <f t="shared" si="17"/>
        <v>455</v>
      </c>
      <c r="C467" s="204">
        <f t="shared" si="18"/>
        <v>0</v>
      </c>
      <c r="D467" s="204" t="str">
        <f t="shared" si="19"/>
        <v/>
      </c>
      <c r="E467" s="203" t="str">
        <f t="shared" si="20"/>
        <v/>
      </c>
      <c r="F467" s="260"/>
      <c r="G467" s="206"/>
      <c r="H467" s="264"/>
      <c r="I467" s="262"/>
      <c r="J467" s="253"/>
      <c r="K467" s="254"/>
      <c r="L467" s="258"/>
      <c r="N467" s="251"/>
      <c r="O467" s="251"/>
      <c r="P467" s="145"/>
      <c r="Q467" s="150"/>
      <c r="R467" s="150"/>
      <c r="S467" s="150"/>
      <c r="T467" s="150"/>
      <c r="U467" s="150"/>
      <c r="V467" s="150"/>
      <c r="W467" s="150"/>
      <c r="X467" s="150"/>
      <c r="Y467" s="150"/>
    </row>
    <row r="468" spans="2:25" ht="14.5" x14ac:dyDescent="0.35">
      <c r="B468" s="203">
        <f t="shared" si="17"/>
        <v>456</v>
      </c>
      <c r="C468" s="204">
        <f t="shared" si="18"/>
        <v>0</v>
      </c>
      <c r="D468" s="204" t="str">
        <f t="shared" si="19"/>
        <v/>
      </c>
      <c r="E468" s="203" t="str">
        <f t="shared" si="20"/>
        <v/>
      </c>
      <c r="F468" s="260"/>
      <c r="G468" s="206"/>
      <c r="H468" s="264"/>
      <c r="I468" s="262"/>
      <c r="J468" s="253"/>
      <c r="K468" s="254"/>
      <c r="L468" s="258"/>
      <c r="N468" s="251"/>
      <c r="O468" s="251"/>
      <c r="P468" s="145"/>
      <c r="Q468" s="150"/>
      <c r="R468" s="150"/>
      <c r="S468" s="150"/>
      <c r="T468" s="150"/>
      <c r="U468" s="150"/>
      <c r="V468" s="150"/>
      <c r="W468" s="150"/>
      <c r="X468" s="150"/>
      <c r="Y468" s="150"/>
    </row>
    <row r="469" spans="2:25" ht="14.5" x14ac:dyDescent="0.35">
      <c r="B469" s="203">
        <f t="shared" si="17"/>
        <v>457</v>
      </c>
      <c r="C469" s="204">
        <f t="shared" si="18"/>
        <v>0</v>
      </c>
      <c r="D469" s="204" t="str">
        <f t="shared" si="19"/>
        <v/>
      </c>
      <c r="E469" s="203" t="str">
        <f t="shared" si="20"/>
        <v/>
      </c>
      <c r="F469" s="260"/>
      <c r="G469" s="206"/>
      <c r="H469" s="264"/>
      <c r="I469" s="262"/>
      <c r="J469" s="253"/>
      <c r="K469" s="254"/>
      <c r="L469" s="258"/>
      <c r="N469" s="251"/>
      <c r="O469" s="251"/>
      <c r="P469" s="145"/>
      <c r="Q469" s="150"/>
      <c r="R469" s="150"/>
      <c r="S469" s="150"/>
      <c r="T469" s="150"/>
      <c r="U469" s="150"/>
      <c r="V469" s="150"/>
      <c r="W469" s="150"/>
      <c r="X469" s="150"/>
      <c r="Y469" s="150"/>
    </row>
    <row r="470" spans="2:25" ht="14.5" x14ac:dyDescent="0.35">
      <c r="B470" s="203">
        <f t="shared" si="17"/>
        <v>458</v>
      </c>
      <c r="C470" s="204">
        <f t="shared" si="18"/>
        <v>0</v>
      </c>
      <c r="D470" s="204" t="str">
        <f t="shared" si="19"/>
        <v/>
      </c>
      <c r="E470" s="203" t="str">
        <f t="shared" si="20"/>
        <v/>
      </c>
      <c r="F470" s="260"/>
      <c r="G470" s="206"/>
      <c r="H470" s="264"/>
      <c r="I470" s="262"/>
      <c r="J470" s="253"/>
      <c r="K470" s="254"/>
      <c r="L470" s="258"/>
      <c r="N470" s="251"/>
      <c r="O470" s="251"/>
      <c r="P470" s="145"/>
      <c r="Q470" s="150"/>
      <c r="R470" s="150"/>
      <c r="S470" s="150"/>
      <c r="T470" s="150"/>
      <c r="U470" s="150"/>
      <c r="V470" s="150"/>
      <c r="W470" s="150"/>
      <c r="X470" s="150"/>
      <c r="Y470" s="150"/>
    </row>
    <row r="471" spans="2:25" ht="14.5" x14ac:dyDescent="0.35">
      <c r="B471" s="203">
        <f t="shared" ref="B471:B534" si="21">B470+1</f>
        <v>459</v>
      </c>
      <c r="C471" s="204">
        <f t="shared" si="18"/>
        <v>0</v>
      </c>
      <c r="D471" s="204" t="str">
        <f t="shared" si="19"/>
        <v/>
      </c>
      <c r="E471" s="203" t="str">
        <f t="shared" si="20"/>
        <v/>
      </c>
      <c r="F471" s="260"/>
      <c r="G471" s="206"/>
      <c r="H471" s="264"/>
      <c r="I471" s="262"/>
      <c r="J471" s="253"/>
      <c r="K471" s="254"/>
      <c r="L471" s="258"/>
      <c r="N471" s="251"/>
      <c r="O471" s="251"/>
      <c r="P471" s="145"/>
      <c r="Q471" s="150"/>
      <c r="R471" s="150"/>
      <c r="S471" s="150"/>
      <c r="T471" s="150"/>
      <c r="U471" s="150"/>
      <c r="V471" s="150"/>
      <c r="W471" s="150"/>
      <c r="X471" s="150"/>
      <c r="Y471" s="150"/>
    </row>
    <row r="472" spans="2:25" ht="14.5" x14ac:dyDescent="0.35">
      <c r="B472" s="203">
        <f t="shared" si="21"/>
        <v>460</v>
      </c>
      <c r="C472" s="204">
        <f t="shared" si="18"/>
        <v>0</v>
      </c>
      <c r="D472" s="204" t="str">
        <f t="shared" si="19"/>
        <v/>
      </c>
      <c r="E472" s="203" t="str">
        <f t="shared" si="20"/>
        <v/>
      </c>
      <c r="F472" s="260"/>
      <c r="G472" s="206"/>
      <c r="H472" s="264"/>
      <c r="I472" s="262"/>
      <c r="J472" s="253"/>
      <c r="K472" s="254"/>
      <c r="L472" s="258"/>
      <c r="N472" s="251"/>
      <c r="O472" s="251"/>
      <c r="P472" s="145"/>
      <c r="Q472" s="150"/>
      <c r="R472" s="150"/>
      <c r="S472" s="150"/>
      <c r="T472" s="150"/>
      <c r="U472" s="150"/>
      <c r="V472" s="150"/>
      <c r="W472" s="150"/>
      <c r="X472" s="150"/>
      <c r="Y472" s="150"/>
    </row>
    <row r="473" spans="2:25" ht="14.5" x14ac:dyDescent="0.35">
      <c r="B473" s="203">
        <f t="shared" si="21"/>
        <v>461</v>
      </c>
      <c r="C473" s="204">
        <f t="shared" si="18"/>
        <v>0</v>
      </c>
      <c r="D473" s="204" t="str">
        <f t="shared" si="19"/>
        <v/>
      </c>
      <c r="E473" s="203" t="str">
        <f t="shared" si="20"/>
        <v/>
      </c>
      <c r="F473" s="260"/>
      <c r="G473" s="206"/>
      <c r="H473" s="264"/>
      <c r="I473" s="262"/>
      <c r="J473" s="253"/>
      <c r="K473" s="254"/>
      <c r="L473" s="258"/>
      <c r="N473" s="251"/>
      <c r="O473" s="251"/>
      <c r="P473" s="145"/>
      <c r="Q473" s="150"/>
      <c r="R473" s="150"/>
      <c r="S473" s="150"/>
      <c r="T473" s="150"/>
      <c r="U473" s="150"/>
      <c r="V473" s="150"/>
      <c r="W473" s="150"/>
      <c r="X473" s="150"/>
      <c r="Y473" s="150"/>
    </row>
    <row r="474" spans="2:25" ht="14.5" x14ac:dyDescent="0.35">
      <c r="B474" s="203">
        <f t="shared" si="21"/>
        <v>462</v>
      </c>
      <c r="C474" s="204">
        <f t="shared" si="18"/>
        <v>0</v>
      </c>
      <c r="D474" s="204" t="str">
        <f t="shared" si="19"/>
        <v/>
      </c>
      <c r="E474" s="203" t="str">
        <f t="shared" si="20"/>
        <v/>
      </c>
      <c r="F474" s="260"/>
      <c r="G474" s="206"/>
      <c r="H474" s="261"/>
      <c r="I474" s="262"/>
      <c r="J474" s="263"/>
      <c r="K474" s="254"/>
      <c r="L474" s="258"/>
      <c r="N474" s="251"/>
      <c r="O474" s="251"/>
      <c r="P474" s="145"/>
      <c r="Q474" s="150"/>
      <c r="R474" s="150"/>
      <c r="S474" s="150"/>
      <c r="T474" s="150"/>
      <c r="U474" s="150"/>
      <c r="V474" s="150"/>
      <c r="W474" s="150"/>
      <c r="X474" s="150"/>
      <c r="Y474" s="150"/>
    </row>
    <row r="475" spans="2:25" ht="14.5" x14ac:dyDescent="0.35">
      <c r="B475" s="203">
        <f t="shared" si="21"/>
        <v>463</v>
      </c>
      <c r="C475" s="204">
        <f t="shared" si="18"/>
        <v>0</v>
      </c>
      <c r="D475" s="204" t="str">
        <f t="shared" si="19"/>
        <v/>
      </c>
      <c r="E475" s="203" t="str">
        <f t="shared" si="20"/>
        <v/>
      </c>
      <c r="F475" s="260"/>
      <c r="G475" s="206"/>
      <c r="H475" s="264"/>
      <c r="I475" s="262"/>
      <c r="J475" s="253"/>
      <c r="K475" s="254"/>
      <c r="L475" s="258"/>
      <c r="N475" s="251"/>
      <c r="O475" s="251"/>
      <c r="P475" s="145"/>
      <c r="Q475" s="150"/>
      <c r="R475" s="150"/>
      <c r="S475" s="150"/>
      <c r="T475" s="150"/>
      <c r="U475" s="150"/>
      <c r="V475" s="150"/>
      <c r="W475" s="150"/>
      <c r="X475" s="150"/>
      <c r="Y475" s="150"/>
    </row>
    <row r="476" spans="2:25" ht="14.5" x14ac:dyDescent="0.35">
      <c r="B476" s="203">
        <f t="shared" si="21"/>
        <v>464</v>
      </c>
      <c r="C476" s="204">
        <f t="shared" si="18"/>
        <v>0</v>
      </c>
      <c r="D476" s="204" t="str">
        <f t="shared" si="19"/>
        <v/>
      </c>
      <c r="E476" s="203" t="str">
        <f t="shared" si="20"/>
        <v/>
      </c>
      <c r="F476" s="260"/>
      <c r="G476" s="206"/>
      <c r="H476" s="264"/>
      <c r="I476" s="262"/>
      <c r="J476" s="253"/>
      <c r="K476" s="254"/>
      <c r="L476" s="258"/>
      <c r="N476" s="251"/>
      <c r="O476" s="251"/>
      <c r="P476" s="145"/>
      <c r="Q476" s="150"/>
      <c r="R476" s="150"/>
      <c r="S476" s="150"/>
      <c r="T476" s="150"/>
      <c r="U476" s="150"/>
      <c r="V476" s="150"/>
      <c r="W476" s="150"/>
      <c r="X476" s="150"/>
      <c r="Y476" s="150"/>
    </row>
    <row r="477" spans="2:25" ht="14.5" x14ac:dyDescent="0.35">
      <c r="B477" s="203">
        <f t="shared" si="21"/>
        <v>465</v>
      </c>
      <c r="C477" s="204">
        <f t="shared" si="18"/>
        <v>0</v>
      </c>
      <c r="D477" s="204" t="str">
        <f t="shared" si="19"/>
        <v/>
      </c>
      <c r="E477" s="203" t="str">
        <f t="shared" si="20"/>
        <v/>
      </c>
      <c r="F477" s="260"/>
      <c r="G477" s="206"/>
      <c r="H477" s="261"/>
      <c r="I477" s="262"/>
      <c r="J477" s="263"/>
      <c r="K477" s="254"/>
      <c r="L477" s="258"/>
      <c r="N477" s="251"/>
      <c r="O477" s="251"/>
      <c r="P477" s="145"/>
      <c r="Q477" s="150"/>
      <c r="R477" s="150"/>
      <c r="S477" s="150"/>
      <c r="T477" s="150"/>
      <c r="U477" s="150"/>
      <c r="V477" s="150"/>
      <c r="W477" s="150"/>
      <c r="X477" s="150"/>
      <c r="Y477" s="150"/>
    </row>
    <row r="478" spans="2:25" ht="14.5" x14ac:dyDescent="0.35">
      <c r="B478" s="203">
        <f t="shared" si="21"/>
        <v>466</v>
      </c>
      <c r="C478" s="204">
        <f t="shared" si="18"/>
        <v>0</v>
      </c>
      <c r="D478" s="204" t="str">
        <f t="shared" si="19"/>
        <v/>
      </c>
      <c r="E478" s="203" t="str">
        <f t="shared" si="20"/>
        <v/>
      </c>
      <c r="F478" s="260"/>
      <c r="G478" s="206"/>
      <c r="H478" s="261"/>
      <c r="I478" s="262"/>
      <c r="J478" s="263"/>
      <c r="K478" s="254"/>
      <c r="L478" s="258"/>
      <c r="N478" s="251"/>
      <c r="O478" s="251"/>
      <c r="P478" s="145"/>
      <c r="Q478" s="150"/>
      <c r="R478" s="150"/>
      <c r="S478" s="150"/>
      <c r="T478" s="150"/>
      <c r="U478" s="150"/>
      <c r="V478" s="150"/>
      <c r="W478" s="150"/>
      <c r="X478" s="150"/>
      <c r="Y478" s="150"/>
    </row>
    <row r="479" spans="2:25" ht="14.5" x14ac:dyDescent="0.35">
      <c r="B479" s="203">
        <f t="shared" si="21"/>
        <v>467</v>
      </c>
      <c r="C479" s="204">
        <f t="shared" si="18"/>
        <v>0</v>
      </c>
      <c r="D479" s="204" t="str">
        <f t="shared" si="19"/>
        <v/>
      </c>
      <c r="E479" s="203" t="str">
        <f t="shared" si="20"/>
        <v/>
      </c>
      <c r="F479" s="260"/>
      <c r="G479" s="206"/>
      <c r="H479" s="264"/>
      <c r="I479" s="262"/>
      <c r="J479" s="253"/>
      <c r="K479" s="254"/>
      <c r="L479" s="258"/>
      <c r="N479" s="251"/>
      <c r="O479" s="251"/>
      <c r="P479" s="145"/>
      <c r="Q479" s="150"/>
      <c r="R479" s="150"/>
      <c r="S479" s="150"/>
      <c r="T479" s="150"/>
      <c r="U479" s="150"/>
      <c r="V479" s="150"/>
      <c r="W479" s="150"/>
      <c r="X479" s="150"/>
      <c r="Y479" s="150"/>
    </row>
    <row r="480" spans="2:25" ht="14.5" x14ac:dyDescent="0.35">
      <c r="B480" s="203">
        <f t="shared" si="21"/>
        <v>468</v>
      </c>
      <c r="C480" s="204">
        <f t="shared" si="18"/>
        <v>0</v>
      </c>
      <c r="D480" s="204" t="str">
        <f t="shared" si="19"/>
        <v/>
      </c>
      <c r="E480" s="203" t="str">
        <f t="shared" si="20"/>
        <v/>
      </c>
      <c r="F480" s="260"/>
      <c r="G480" s="206"/>
      <c r="H480" s="264"/>
      <c r="I480" s="262"/>
      <c r="J480" s="253"/>
      <c r="K480" s="254"/>
      <c r="L480" s="258"/>
      <c r="N480" s="251"/>
      <c r="O480" s="251"/>
      <c r="P480" s="145"/>
      <c r="Q480" s="150"/>
      <c r="R480" s="150"/>
      <c r="S480" s="150"/>
      <c r="T480" s="150"/>
      <c r="U480" s="150"/>
      <c r="V480" s="150"/>
      <c r="W480" s="150"/>
      <c r="X480" s="150"/>
      <c r="Y480" s="150"/>
    </row>
    <row r="481" spans="2:25" ht="14.5" x14ac:dyDescent="0.35">
      <c r="B481" s="203">
        <f t="shared" si="21"/>
        <v>469</v>
      </c>
      <c r="C481" s="204">
        <f t="shared" si="18"/>
        <v>0</v>
      </c>
      <c r="D481" s="204" t="str">
        <f t="shared" si="19"/>
        <v/>
      </c>
      <c r="E481" s="203" t="str">
        <f t="shared" si="20"/>
        <v/>
      </c>
      <c r="F481" s="260"/>
      <c r="G481" s="206"/>
      <c r="H481" s="264"/>
      <c r="I481" s="262"/>
      <c r="J481" s="253"/>
      <c r="K481" s="254"/>
      <c r="L481" s="258"/>
      <c r="N481" s="251"/>
      <c r="O481" s="251"/>
      <c r="P481" s="145"/>
      <c r="Q481" s="150"/>
      <c r="R481" s="150"/>
      <c r="S481" s="150"/>
      <c r="T481" s="150"/>
      <c r="U481" s="150"/>
      <c r="V481" s="150"/>
      <c r="W481" s="150"/>
      <c r="X481" s="150"/>
      <c r="Y481" s="150"/>
    </row>
    <row r="482" spans="2:25" ht="14.5" x14ac:dyDescent="0.35">
      <c r="B482" s="203">
        <f t="shared" si="21"/>
        <v>470</v>
      </c>
      <c r="C482" s="204">
        <f t="shared" si="18"/>
        <v>0</v>
      </c>
      <c r="D482" s="204" t="str">
        <f t="shared" si="19"/>
        <v/>
      </c>
      <c r="E482" s="203" t="str">
        <f t="shared" si="20"/>
        <v/>
      </c>
      <c r="F482" s="260"/>
      <c r="G482" s="206"/>
      <c r="H482" s="264"/>
      <c r="I482" s="262"/>
      <c r="J482" s="253"/>
      <c r="K482" s="254"/>
      <c r="L482" s="258"/>
      <c r="N482" s="251"/>
      <c r="O482" s="251"/>
      <c r="P482" s="145"/>
      <c r="Q482" s="150"/>
      <c r="R482" s="150"/>
      <c r="S482" s="150"/>
      <c r="T482" s="150"/>
      <c r="U482" s="150"/>
      <c r="V482" s="150"/>
      <c r="W482" s="150"/>
      <c r="X482" s="150"/>
      <c r="Y482" s="150"/>
    </row>
    <row r="483" spans="2:25" ht="14.5" x14ac:dyDescent="0.35">
      <c r="B483" s="203">
        <f t="shared" si="21"/>
        <v>471</v>
      </c>
      <c r="C483" s="204">
        <f t="shared" si="18"/>
        <v>0</v>
      </c>
      <c r="D483" s="204" t="str">
        <f t="shared" si="19"/>
        <v/>
      </c>
      <c r="E483" s="203" t="str">
        <f t="shared" si="20"/>
        <v/>
      </c>
      <c r="F483" s="260"/>
      <c r="G483" s="206"/>
      <c r="H483" s="264"/>
      <c r="I483" s="262"/>
      <c r="J483" s="253"/>
      <c r="K483" s="254"/>
      <c r="L483" s="258"/>
      <c r="N483" s="251"/>
      <c r="O483" s="251"/>
      <c r="P483" s="145"/>
      <c r="Q483" s="150"/>
      <c r="R483" s="150"/>
      <c r="S483" s="150"/>
      <c r="T483" s="150"/>
      <c r="U483" s="150"/>
      <c r="V483" s="150"/>
      <c r="W483" s="150"/>
      <c r="X483" s="150"/>
      <c r="Y483" s="150"/>
    </row>
    <row r="484" spans="2:25" ht="14.5" x14ac:dyDescent="0.35">
      <c r="B484" s="203">
        <f t="shared" si="21"/>
        <v>472</v>
      </c>
      <c r="C484" s="204">
        <f t="shared" si="18"/>
        <v>0</v>
      </c>
      <c r="D484" s="204" t="str">
        <f t="shared" si="19"/>
        <v/>
      </c>
      <c r="E484" s="203" t="str">
        <f t="shared" si="20"/>
        <v/>
      </c>
      <c r="F484" s="260"/>
      <c r="G484" s="206"/>
      <c r="H484" s="264"/>
      <c r="I484" s="262"/>
      <c r="J484" s="253"/>
      <c r="K484" s="254"/>
      <c r="L484" s="258"/>
      <c r="N484" s="251"/>
      <c r="O484" s="251"/>
      <c r="P484" s="145"/>
      <c r="Q484" s="150"/>
      <c r="R484" s="150"/>
      <c r="S484" s="150"/>
      <c r="T484" s="150"/>
      <c r="U484" s="150"/>
      <c r="V484" s="150"/>
      <c r="W484" s="150"/>
      <c r="X484" s="150"/>
      <c r="Y484" s="150"/>
    </row>
    <row r="485" spans="2:25" ht="14.5" x14ac:dyDescent="0.35">
      <c r="B485" s="203">
        <f t="shared" si="21"/>
        <v>473</v>
      </c>
      <c r="C485" s="204">
        <f t="shared" si="18"/>
        <v>0</v>
      </c>
      <c r="D485" s="204" t="str">
        <f t="shared" si="19"/>
        <v/>
      </c>
      <c r="E485" s="203" t="str">
        <f t="shared" si="20"/>
        <v/>
      </c>
      <c r="F485" s="260"/>
      <c r="G485" s="206"/>
      <c r="H485" s="264"/>
      <c r="I485" s="262"/>
      <c r="J485" s="253"/>
      <c r="K485" s="254"/>
      <c r="L485" s="258"/>
      <c r="N485" s="251"/>
      <c r="O485" s="251"/>
      <c r="P485" s="145"/>
      <c r="Q485" s="150"/>
      <c r="R485" s="150"/>
      <c r="S485" s="150"/>
      <c r="T485" s="150"/>
      <c r="U485" s="150"/>
      <c r="V485" s="150"/>
      <c r="W485" s="150"/>
      <c r="X485" s="150"/>
      <c r="Y485" s="150"/>
    </row>
    <row r="486" spans="2:25" ht="14.5" x14ac:dyDescent="0.35">
      <c r="B486" s="203">
        <f t="shared" si="21"/>
        <v>474</v>
      </c>
      <c r="C486" s="204">
        <f t="shared" si="18"/>
        <v>0</v>
      </c>
      <c r="D486" s="204" t="str">
        <f t="shared" si="19"/>
        <v/>
      </c>
      <c r="E486" s="203" t="str">
        <f t="shared" si="20"/>
        <v/>
      </c>
      <c r="F486" s="260"/>
      <c r="G486" s="206"/>
      <c r="H486" s="264"/>
      <c r="I486" s="262"/>
      <c r="J486" s="253"/>
      <c r="K486" s="254"/>
      <c r="L486" s="258"/>
      <c r="N486" s="251"/>
      <c r="O486" s="251"/>
      <c r="P486" s="145"/>
      <c r="Q486" s="150"/>
      <c r="R486" s="150"/>
      <c r="S486" s="150"/>
      <c r="T486" s="150"/>
      <c r="U486" s="150"/>
      <c r="V486" s="150"/>
      <c r="W486" s="150"/>
      <c r="X486" s="150"/>
      <c r="Y486" s="150"/>
    </row>
    <row r="487" spans="2:25" ht="14.5" x14ac:dyDescent="0.35">
      <c r="B487" s="203">
        <f t="shared" si="21"/>
        <v>475</v>
      </c>
      <c r="C487" s="204">
        <f t="shared" si="18"/>
        <v>0</v>
      </c>
      <c r="D487" s="204" t="str">
        <f t="shared" si="19"/>
        <v/>
      </c>
      <c r="E487" s="203" t="str">
        <f t="shared" si="20"/>
        <v/>
      </c>
      <c r="F487" s="260"/>
      <c r="G487" s="206"/>
      <c r="H487" s="264"/>
      <c r="I487" s="262"/>
      <c r="J487" s="253"/>
      <c r="K487" s="254"/>
      <c r="L487" s="258"/>
      <c r="N487" s="251"/>
      <c r="O487" s="251"/>
      <c r="P487" s="145"/>
      <c r="Q487" s="150"/>
      <c r="R487" s="150"/>
      <c r="S487" s="150"/>
      <c r="T487" s="150"/>
      <c r="U487" s="150"/>
      <c r="V487" s="150"/>
      <c r="W487" s="150"/>
      <c r="X487" s="150"/>
      <c r="Y487" s="150"/>
    </row>
    <row r="488" spans="2:25" ht="14.5" x14ac:dyDescent="0.35">
      <c r="B488" s="203">
        <f t="shared" si="21"/>
        <v>476</v>
      </c>
      <c r="C488" s="204">
        <f t="shared" si="18"/>
        <v>0</v>
      </c>
      <c r="D488" s="204" t="str">
        <f t="shared" si="19"/>
        <v/>
      </c>
      <c r="E488" s="203" t="str">
        <f t="shared" si="20"/>
        <v/>
      </c>
      <c r="F488" s="260"/>
      <c r="G488" s="206"/>
      <c r="H488" s="264"/>
      <c r="I488" s="262"/>
      <c r="J488" s="253"/>
      <c r="K488" s="254"/>
      <c r="L488" s="258"/>
      <c r="N488" s="251"/>
      <c r="O488" s="251"/>
      <c r="P488" s="145"/>
      <c r="Q488" s="150"/>
      <c r="R488" s="150"/>
      <c r="S488" s="150"/>
      <c r="T488" s="150"/>
      <c r="U488" s="150"/>
      <c r="V488" s="150"/>
      <c r="W488" s="150"/>
      <c r="X488" s="150"/>
      <c r="Y488" s="150"/>
    </row>
    <row r="489" spans="2:25" ht="14.5" x14ac:dyDescent="0.35">
      <c r="B489" s="203">
        <f t="shared" si="21"/>
        <v>477</v>
      </c>
      <c r="C489" s="204">
        <f t="shared" si="18"/>
        <v>0</v>
      </c>
      <c r="D489" s="204" t="str">
        <f t="shared" si="19"/>
        <v/>
      </c>
      <c r="E489" s="203" t="str">
        <f t="shared" si="20"/>
        <v/>
      </c>
      <c r="F489" s="260"/>
      <c r="G489" s="206"/>
      <c r="H489" s="264"/>
      <c r="I489" s="262"/>
      <c r="J489" s="253"/>
      <c r="K489" s="254"/>
      <c r="L489" s="258"/>
      <c r="N489" s="251"/>
      <c r="O489" s="251"/>
      <c r="P489" s="145"/>
      <c r="Q489" s="150"/>
      <c r="R489" s="150"/>
      <c r="S489" s="150"/>
      <c r="T489" s="150"/>
      <c r="U489" s="150"/>
      <c r="V489" s="150"/>
      <c r="W489" s="150"/>
      <c r="X489" s="150"/>
      <c r="Y489" s="150"/>
    </row>
    <row r="490" spans="2:25" ht="14.5" x14ac:dyDescent="0.35">
      <c r="B490" s="203">
        <f t="shared" si="21"/>
        <v>478</v>
      </c>
      <c r="C490" s="204">
        <f t="shared" si="18"/>
        <v>0</v>
      </c>
      <c r="D490" s="204" t="str">
        <f t="shared" si="19"/>
        <v/>
      </c>
      <c r="E490" s="203" t="str">
        <f t="shared" si="20"/>
        <v/>
      </c>
      <c r="F490" s="260"/>
      <c r="G490" s="206"/>
      <c r="H490" s="264"/>
      <c r="I490" s="262"/>
      <c r="J490" s="253"/>
      <c r="K490" s="254"/>
      <c r="L490" s="258"/>
      <c r="N490" s="251"/>
      <c r="O490" s="251"/>
      <c r="P490" s="145"/>
      <c r="Q490" s="150"/>
      <c r="R490" s="150"/>
      <c r="S490" s="150"/>
      <c r="T490" s="150"/>
      <c r="U490" s="150"/>
      <c r="V490" s="150"/>
      <c r="W490" s="150"/>
      <c r="X490" s="150"/>
      <c r="Y490" s="150"/>
    </row>
    <row r="491" spans="2:25" ht="14.5" x14ac:dyDescent="0.35">
      <c r="B491" s="203">
        <f t="shared" si="21"/>
        <v>479</v>
      </c>
      <c r="C491" s="204">
        <f t="shared" si="18"/>
        <v>0</v>
      </c>
      <c r="D491" s="204" t="str">
        <f t="shared" si="19"/>
        <v/>
      </c>
      <c r="E491" s="203" t="str">
        <f t="shared" si="20"/>
        <v/>
      </c>
      <c r="F491" s="260"/>
      <c r="G491" s="206"/>
      <c r="H491" s="264"/>
      <c r="I491" s="262"/>
      <c r="J491" s="253"/>
      <c r="K491" s="254"/>
      <c r="L491" s="258"/>
      <c r="N491" s="251"/>
      <c r="O491" s="251"/>
      <c r="P491" s="145"/>
      <c r="Q491" s="150"/>
      <c r="R491" s="150"/>
      <c r="S491" s="150"/>
      <c r="T491" s="150"/>
      <c r="U491" s="150"/>
      <c r="V491" s="150"/>
      <c r="W491" s="150"/>
      <c r="X491" s="150"/>
      <c r="Y491" s="150"/>
    </row>
    <row r="492" spans="2:25" ht="14.5" x14ac:dyDescent="0.35">
      <c r="B492" s="203">
        <f t="shared" si="21"/>
        <v>480</v>
      </c>
      <c r="C492" s="204">
        <f t="shared" si="18"/>
        <v>0</v>
      </c>
      <c r="D492" s="204" t="str">
        <f t="shared" si="19"/>
        <v/>
      </c>
      <c r="E492" s="203" t="str">
        <f t="shared" si="20"/>
        <v/>
      </c>
      <c r="F492" s="260"/>
      <c r="G492" s="206"/>
      <c r="H492" s="264"/>
      <c r="I492" s="262"/>
      <c r="J492" s="253"/>
      <c r="K492" s="254"/>
      <c r="L492" s="258"/>
      <c r="N492" s="251"/>
      <c r="O492" s="251"/>
      <c r="P492" s="145"/>
      <c r="Q492" s="150"/>
      <c r="R492" s="150"/>
      <c r="S492" s="150"/>
      <c r="T492" s="150"/>
      <c r="U492" s="150"/>
      <c r="V492" s="150"/>
      <c r="W492" s="150"/>
      <c r="X492" s="150"/>
      <c r="Y492" s="150"/>
    </row>
    <row r="493" spans="2:25" ht="14.5" x14ac:dyDescent="0.35">
      <c r="B493" s="203">
        <f t="shared" si="21"/>
        <v>481</v>
      </c>
      <c r="C493" s="204">
        <f t="shared" si="18"/>
        <v>0</v>
      </c>
      <c r="D493" s="204" t="str">
        <f t="shared" si="19"/>
        <v/>
      </c>
      <c r="E493" s="203" t="str">
        <f t="shared" si="20"/>
        <v/>
      </c>
      <c r="F493" s="260"/>
      <c r="G493" s="206"/>
      <c r="H493" s="261"/>
      <c r="I493" s="262"/>
      <c r="J493" s="263"/>
      <c r="K493" s="254"/>
      <c r="L493" s="258"/>
      <c r="N493" s="251"/>
      <c r="O493" s="251"/>
      <c r="P493" s="145"/>
      <c r="Q493" s="150"/>
      <c r="R493" s="150"/>
      <c r="S493" s="150"/>
      <c r="T493" s="150"/>
      <c r="U493" s="150"/>
      <c r="V493" s="150"/>
      <c r="W493" s="150"/>
      <c r="X493" s="150"/>
      <c r="Y493" s="150"/>
    </row>
    <row r="494" spans="2:25" ht="14.5" x14ac:dyDescent="0.35">
      <c r="B494" s="203">
        <f t="shared" si="21"/>
        <v>482</v>
      </c>
      <c r="C494" s="204">
        <f t="shared" si="18"/>
        <v>0</v>
      </c>
      <c r="D494" s="204" t="str">
        <f t="shared" si="19"/>
        <v/>
      </c>
      <c r="E494" s="203" t="str">
        <f t="shared" si="20"/>
        <v/>
      </c>
      <c r="F494" s="260"/>
      <c r="G494" s="206"/>
      <c r="H494" s="264"/>
      <c r="I494" s="262"/>
      <c r="J494" s="253"/>
      <c r="K494" s="254"/>
      <c r="L494" s="258"/>
      <c r="N494" s="251"/>
      <c r="O494" s="251"/>
      <c r="P494" s="145"/>
      <c r="Q494" s="150"/>
      <c r="R494" s="150"/>
      <c r="S494" s="150"/>
      <c r="T494" s="150"/>
      <c r="U494" s="150"/>
      <c r="V494" s="150"/>
      <c r="W494" s="150"/>
      <c r="X494" s="150"/>
      <c r="Y494" s="150"/>
    </row>
    <row r="495" spans="2:25" ht="14.5" x14ac:dyDescent="0.35">
      <c r="B495" s="203">
        <f t="shared" si="21"/>
        <v>483</v>
      </c>
      <c r="C495" s="204">
        <f t="shared" si="18"/>
        <v>0</v>
      </c>
      <c r="D495" s="204" t="str">
        <f t="shared" si="19"/>
        <v/>
      </c>
      <c r="E495" s="203" t="str">
        <f t="shared" si="20"/>
        <v/>
      </c>
      <c r="F495" s="260"/>
      <c r="G495" s="206"/>
      <c r="H495" s="264"/>
      <c r="I495" s="262"/>
      <c r="J495" s="253"/>
      <c r="K495" s="254"/>
      <c r="L495" s="258"/>
      <c r="N495" s="251"/>
      <c r="O495" s="251"/>
      <c r="P495" s="145"/>
      <c r="Q495" s="150"/>
      <c r="R495" s="150"/>
      <c r="S495" s="150"/>
      <c r="T495" s="150"/>
      <c r="U495" s="150"/>
      <c r="V495" s="150"/>
      <c r="W495" s="150"/>
      <c r="X495" s="150"/>
      <c r="Y495" s="150"/>
    </row>
    <row r="496" spans="2:25" ht="14.5" x14ac:dyDescent="0.35">
      <c r="B496" s="203">
        <f t="shared" si="21"/>
        <v>484</v>
      </c>
      <c r="C496" s="204">
        <f t="shared" si="18"/>
        <v>0</v>
      </c>
      <c r="D496" s="204" t="str">
        <f t="shared" si="19"/>
        <v/>
      </c>
      <c r="E496" s="203" t="str">
        <f t="shared" si="20"/>
        <v/>
      </c>
      <c r="F496" s="260"/>
      <c r="G496" s="206"/>
      <c r="H496" s="264"/>
      <c r="I496" s="262"/>
      <c r="J496" s="253"/>
      <c r="K496" s="254"/>
      <c r="L496" s="258"/>
      <c r="N496" s="251"/>
      <c r="O496" s="251"/>
      <c r="P496" s="145"/>
      <c r="Q496" s="150"/>
      <c r="R496" s="150"/>
      <c r="S496" s="150"/>
      <c r="T496" s="150"/>
      <c r="U496" s="150"/>
      <c r="V496" s="150"/>
      <c r="W496" s="150"/>
      <c r="X496" s="150"/>
      <c r="Y496" s="150"/>
    </row>
    <row r="497" spans="2:25" ht="14.5" x14ac:dyDescent="0.35">
      <c r="B497" s="203">
        <f t="shared" si="21"/>
        <v>485</v>
      </c>
      <c r="C497" s="204">
        <f t="shared" si="18"/>
        <v>0</v>
      </c>
      <c r="D497" s="204" t="str">
        <f t="shared" si="19"/>
        <v/>
      </c>
      <c r="E497" s="203" t="str">
        <f t="shared" si="20"/>
        <v/>
      </c>
      <c r="F497" s="260"/>
      <c r="G497" s="206"/>
      <c r="H497" s="264"/>
      <c r="I497" s="262"/>
      <c r="J497" s="253"/>
      <c r="K497" s="254"/>
      <c r="L497" s="258"/>
      <c r="N497" s="251"/>
      <c r="O497" s="251"/>
      <c r="P497" s="145"/>
      <c r="Q497" s="150"/>
      <c r="R497" s="150"/>
      <c r="S497" s="150"/>
      <c r="T497" s="150"/>
      <c r="U497" s="150"/>
      <c r="V497" s="150"/>
      <c r="W497" s="150"/>
      <c r="X497" s="150"/>
      <c r="Y497" s="150"/>
    </row>
    <row r="498" spans="2:25" ht="14.5" x14ac:dyDescent="0.35">
      <c r="B498" s="203">
        <f t="shared" si="21"/>
        <v>486</v>
      </c>
      <c r="C498" s="204">
        <f t="shared" si="18"/>
        <v>0</v>
      </c>
      <c r="D498" s="204" t="str">
        <f t="shared" si="19"/>
        <v/>
      </c>
      <c r="E498" s="203" t="str">
        <f t="shared" si="20"/>
        <v/>
      </c>
      <c r="F498" s="260"/>
      <c r="G498" s="206"/>
      <c r="H498" s="264"/>
      <c r="I498" s="262"/>
      <c r="J498" s="253"/>
      <c r="K498" s="254"/>
      <c r="L498" s="258"/>
      <c r="N498" s="251"/>
      <c r="O498" s="251"/>
      <c r="Q498" s="150"/>
      <c r="R498" s="150"/>
      <c r="S498" s="150"/>
      <c r="T498" s="150"/>
      <c r="U498" s="150"/>
      <c r="V498" s="150"/>
      <c r="W498" s="150"/>
      <c r="X498" s="150"/>
      <c r="Y498" s="150"/>
    </row>
    <row r="499" spans="2:25" ht="14.5" x14ac:dyDescent="0.35">
      <c r="B499" s="203">
        <f t="shared" si="21"/>
        <v>487</v>
      </c>
      <c r="C499" s="204">
        <f t="shared" si="18"/>
        <v>0</v>
      </c>
      <c r="D499" s="204" t="str">
        <f t="shared" si="19"/>
        <v/>
      </c>
      <c r="E499" s="203" t="str">
        <f t="shared" si="20"/>
        <v/>
      </c>
      <c r="F499" s="260"/>
      <c r="G499" s="206"/>
      <c r="H499" s="264"/>
      <c r="I499" s="262"/>
      <c r="J499" s="253"/>
      <c r="K499" s="254"/>
      <c r="L499" s="258"/>
      <c r="N499" s="251"/>
      <c r="O499" s="251"/>
      <c r="Q499" s="150"/>
      <c r="R499" s="150"/>
      <c r="S499" s="150"/>
      <c r="T499" s="150"/>
      <c r="U499" s="150"/>
      <c r="V499" s="150"/>
      <c r="W499" s="150"/>
      <c r="X499" s="150"/>
      <c r="Y499" s="150"/>
    </row>
    <row r="500" spans="2:25" ht="14.5" x14ac:dyDescent="0.35">
      <c r="B500" s="203">
        <f t="shared" si="21"/>
        <v>488</v>
      </c>
      <c r="C500" s="204">
        <f t="shared" si="18"/>
        <v>0</v>
      </c>
      <c r="D500" s="204" t="str">
        <f t="shared" si="19"/>
        <v/>
      </c>
      <c r="E500" s="203" t="str">
        <f t="shared" si="20"/>
        <v/>
      </c>
      <c r="F500" s="260"/>
      <c r="G500" s="206"/>
      <c r="H500" s="264"/>
      <c r="I500" s="262"/>
      <c r="J500" s="253"/>
      <c r="K500" s="254"/>
      <c r="L500" s="258"/>
      <c r="N500" s="251"/>
      <c r="O500" s="251"/>
      <c r="Q500" s="150"/>
      <c r="R500" s="150"/>
      <c r="S500" s="150"/>
      <c r="T500" s="150"/>
      <c r="U500" s="150"/>
      <c r="V500" s="150"/>
      <c r="W500" s="150"/>
      <c r="X500" s="150"/>
      <c r="Y500" s="150"/>
    </row>
    <row r="501" spans="2:25" ht="14.5" x14ac:dyDescent="0.35">
      <c r="B501" s="203">
        <f t="shared" si="21"/>
        <v>489</v>
      </c>
      <c r="C501" s="204">
        <f t="shared" si="18"/>
        <v>0</v>
      </c>
      <c r="D501" s="204" t="str">
        <f t="shared" si="19"/>
        <v/>
      </c>
      <c r="E501" s="203" t="str">
        <f t="shared" si="20"/>
        <v/>
      </c>
      <c r="F501" s="260"/>
      <c r="G501" s="206"/>
      <c r="H501" s="264"/>
      <c r="I501" s="262"/>
      <c r="J501" s="253"/>
      <c r="K501" s="254"/>
      <c r="L501" s="258"/>
      <c r="N501" s="251"/>
      <c r="O501" s="251"/>
      <c r="Q501" s="150"/>
      <c r="R501" s="150"/>
      <c r="S501" s="150"/>
      <c r="T501" s="150"/>
      <c r="U501" s="150"/>
      <c r="V501" s="150"/>
      <c r="W501" s="150"/>
      <c r="X501" s="150"/>
      <c r="Y501" s="150"/>
    </row>
    <row r="502" spans="2:25" ht="14.5" x14ac:dyDescent="0.35">
      <c r="B502" s="203">
        <f t="shared" si="21"/>
        <v>490</v>
      </c>
      <c r="C502" s="204">
        <f t="shared" si="18"/>
        <v>0</v>
      </c>
      <c r="D502" s="204" t="str">
        <f t="shared" si="19"/>
        <v/>
      </c>
      <c r="E502" s="203" t="str">
        <f t="shared" si="20"/>
        <v/>
      </c>
      <c r="F502" s="260"/>
      <c r="G502" s="206"/>
      <c r="H502" s="264"/>
      <c r="I502" s="262"/>
      <c r="J502" s="253"/>
      <c r="K502" s="254"/>
      <c r="L502" s="258"/>
      <c r="N502" s="251"/>
      <c r="O502" s="251"/>
      <c r="Q502" s="150"/>
      <c r="R502" s="150"/>
      <c r="S502" s="150"/>
      <c r="T502" s="150"/>
      <c r="U502" s="150"/>
      <c r="V502" s="150"/>
      <c r="W502" s="150"/>
      <c r="X502" s="150"/>
      <c r="Y502" s="150"/>
    </row>
    <row r="503" spans="2:25" ht="14.5" x14ac:dyDescent="0.35">
      <c r="B503" s="203">
        <f t="shared" si="21"/>
        <v>491</v>
      </c>
      <c r="C503" s="204">
        <f t="shared" si="18"/>
        <v>0</v>
      </c>
      <c r="D503" s="204" t="str">
        <f t="shared" si="19"/>
        <v/>
      </c>
      <c r="E503" s="203" t="str">
        <f t="shared" si="20"/>
        <v/>
      </c>
      <c r="F503" s="260"/>
      <c r="G503" s="206"/>
      <c r="H503" s="264"/>
      <c r="I503" s="262"/>
      <c r="J503" s="253"/>
      <c r="K503" s="254"/>
      <c r="L503" s="258"/>
      <c r="N503" s="251"/>
      <c r="O503" s="251"/>
      <c r="Q503" s="150"/>
      <c r="R503" s="150"/>
      <c r="S503" s="150"/>
      <c r="T503" s="150"/>
      <c r="U503" s="150"/>
      <c r="V503" s="150"/>
      <c r="W503" s="150"/>
      <c r="X503" s="150"/>
      <c r="Y503" s="150"/>
    </row>
    <row r="504" spans="2:25" ht="14.5" x14ac:dyDescent="0.35">
      <c r="B504" s="203">
        <f t="shared" si="21"/>
        <v>492</v>
      </c>
      <c r="C504" s="204">
        <f t="shared" si="18"/>
        <v>0</v>
      </c>
      <c r="D504" s="204" t="str">
        <f t="shared" si="19"/>
        <v/>
      </c>
      <c r="E504" s="203" t="str">
        <f t="shared" si="20"/>
        <v/>
      </c>
      <c r="F504" s="260"/>
      <c r="G504" s="206"/>
      <c r="H504" s="264"/>
      <c r="I504" s="262"/>
      <c r="J504" s="253"/>
      <c r="K504" s="254"/>
      <c r="L504" s="258"/>
      <c r="N504" s="251"/>
      <c r="O504" s="251"/>
      <c r="Q504" s="150"/>
      <c r="R504" s="150"/>
      <c r="S504" s="150"/>
      <c r="T504" s="150"/>
      <c r="U504" s="150"/>
      <c r="V504" s="150"/>
      <c r="W504" s="150"/>
      <c r="X504" s="150"/>
      <c r="Y504" s="150"/>
    </row>
    <row r="505" spans="2:25" ht="14.5" x14ac:dyDescent="0.35">
      <c r="B505" s="203">
        <f t="shared" si="21"/>
        <v>493</v>
      </c>
      <c r="C505" s="204">
        <f t="shared" si="18"/>
        <v>0</v>
      </c>
      <c r="D505" s="204" t="str">
        <f t="shared" si="19"/>
        <v/>
      </c>
      <c r="E505" s="203" t="str">
        <f t="shared" si="20"/>
        <v/>
      </c>
      <c r="F505" s="260"/>
      <c r="G505" s="206"/>
      <c r="H505" s="264"/>
      <c r="I505" s="262"/>
      <c r="J505" s="253"/>
      <c r="K505" s="254"/>
      <c r="L505" s="258"/>
      <c r="N505" s="251"/>
      <c r="O505" s="251"/>
      <c r="Q505" s="150"/>
      <c r="R505" s="150"/>
      <c r="S505" s="150"/>
      <c r="T505" s="150"/>
      <c r="U505" s="150"/>
      <c r="V505" s="150"/>
      <c r="W505" s="150"/>
      <c r="X505" s="150"/>
      <c r="Y505" s="150"/>
    </row>
    <row r="506" spans="2:25" ht="14.5" x14ac:dyDescent="0.35">
      <c r="B506" s="203">
        <f t="shared" si="21"/>
        <v>494</v>
      </c>
      <c r="C506" s="204">
        <f t="shared" si="18"/>
        <v>0</v>
      </c>
      <c r="D506" s="204" t="str">
        <f t="shared" si="19"/>
        <v/>
      </c>
      <c r="E506" s="203" t="str">
        <f t="shared" si="20"/>
        <v/>
      </c>
      <c r="F506" s="260"/>
      <c r="G506" s="206"/>
      <c r="H506" s="264"/>
      <c r="I506" s="262"/>
      <c r="J506" s="253"/>
      <c r="K506" s="254"/>
      <c r="L506" s="258"/>
      <c r="N506" s="251"/>
      <c r="O506" s="251"/>
      <c r="Q506" s="150"/>
      <c r="R506" s="150"/>
      <c r="S506" s="150"/>
      <c r="T506" s="150"/>
      <c r="U506" s="150"/>
      <c r="V506" s="150"/>
      <c r="W506" s="150"/>
      <c r="X506" s="150"/>
      <c r="Y506" s="150"/>
    </row>
    <row r="507" spans="2:25" ht="14.5" x14ac:dyDescent="0.35">
      <c r="B507" s="203">
        <f t="shared" si="21"/>
        <v>495</v>
      </c>
      <c r="C507" s="204">
        <f t="shared" si="18"/>
        <v>0</v>
      </c>
      <c r="D507" s="204" t="str">
        <f t="shared" si="19"/>
        <v/>
      </c>
      <c r="E507" s="203" t="str">
        <f t="shared" si="20"/>
        <v/>
      </c>
      <c r="F507" s="260"/>
      <c r="G507" s="206"/>
      <c r="H507" s="264"/>
      <c r="I507" s="262"/>
      <c r="J507" s="253"/>
      <c r="K507" s="254"/>
      <c r="L507" s="258"/>
      <c r="N507" s="251"/>
      <c r="O507" s="251"/>
      <c r="Q507" s="150"/>
      <c r="R507" s="150"/>
      <c r="S507" s="150"/>
      <c r="T507" s="150"/>
      <c r="U507" s="150"/>
      <c r="V507" s="150"/>
      <c r="W507" s="150"/>
      <c r="X507" s="150"/>
      <c r="Y507" s="150"/>
    </row>
    <row r="508" spans="2:25" ht="14.5" x14ac:dyDescent="0.35">
      <c r="B508" s="203">
        <f t="shared" si="21"/>
        <v>496</v>
      </c>
      <c r="C508" s="204">
        <f t="shared" si="18"/>
        <v>0</v>
      </c>
      <c r="D508" s="204" t="str">
        <f t="shared" si="19"/>
        <v/>
      </c>
      <c r="E508" s="203" t="str">
        <f t="shared" si="20"/>
        <v/>
      </c>
      <c r="F508" s="260"/>
      <c r="G508" s="206"/>
      <c r="H508" s="264"/>
      <c r="I508" s="262"/>
      <c r="J508" s="253"/>
      <c r="K508" s="254"/>
      <c r="L508" s="258"/>
      <c r="N508" s="251"/>
      <c r="O508" s="251"/>
      <c r="Q508" s="150"/>
      <c r="R508" s="150"/>
      <c r="S508" s="150"/>
      <c r="T508" s="150"/>
      <c r="U508" s="150"/>
      <c r="V508" s="150"/>
      <c r="W508" s="150"/>
      <c r="X508" s="150"/>
      <c r="Y508" s="150"/>
    </row>
    <row r="509" spans="2:25" ht="14.5" x14ac:dyDescent="0.35">
      <c r="B509" s="203">
        <f t="shared" si="21"/>
        <v>497</v>
      </c>
      <c r="C509" s="204">
        <f t="shared" si="18"/>
        <v>0</v>
      </c>
      <c r="D509" s="204" t="str">
        <f t="shared" si="19"/>
        <v/>
      </c>
      <c r="E509" s="203" t="str">
        <f t="shared" si="20"/>
        <v/>
      </c>
      <c r="F509" s="260"/>
      <c r="G509" s="206"/>
      <c r="H509" s="264"/>
      <c r="I509" s="262"/>
      <c r="J509" s="253"/>
      <c r="K509" s="254"/>
      <c r="L509" s="258"/>
      <c r="N509" s="251"/>
      <c r="O509" s="251"/>
      <c r="Q509" s="150"/>
      <c r="R509" s="150"/>
      <c r="S509" s="150"/>
      <c r="T509" s="150"/>
      <c r="U509" s="150"/>
      <c r="V509" s="150"/>
      <c r="W509" s="150"/>
      <c r="X509" s="150"/>
      <c r="Y509" s="150"/>
    </row>
    <row r="510" spans="2:25" ht="14.5" x14ac:dyDescent="0.35">
      <c r="B510" s="203">
        <f t="shared" si="21"/>
        <v>498</v>
      </c>
      <c r="C510" s="204">
        <f t="shared" si="18"/>
        <v>0</v>
      </c>
      <c r="D510" s="204" t="str">
        <f t="shared" si="19"/>
        <v/>
      </c>
      <c r="E510" s="203" t="str">
        <f t="shared" si="20"/>
        <v/>
      </c>
      <c r="F510" s="260"/>
      <c r="G510" s="206"/>
      <c r="H510" s="264"/>
      <c r="I510" s="262"/>
      <c r="J510" s="253"/>
      <c r="K510" s="254"/>
      <c r="L510" s="258"/>
      <c r="N510" s="251"/>
      <c r="O510" s="251"/>
      <c r="Q510" s="150"/>
      <c r="R510" s="150"/>
      <c r="S510" s="150"/>
      <c r="T510" s="150"/>
      <c r="U510" s="150"/>
      <c r="V510" s="150"/>
      <c r="W510" s="150"/>
      <c r="X510" s="150"/>
      <c r="Y510" s="150"/>
    </row>
    <row r="511" spans="2:25" ht="14.5" x14ac:dyDescent="0.35">
      <c r="B511" s="203">
        <f t="shared" si="21"/>
        <v>499</v>
      </c>
      <c r="C511" s="204">
        <f t="shared" si="18"/>
        <v>0</v>
      </c>
      <c r="D511" s="204" t="str">
        <f t="shared" si="19"/>
        <v/>
      </c>
      <c r="E511" s="203" t="str">
        <f t="shared" si="20"/>
        <v/>
      </c>
      <c r="F511" s="260"/>
      <c r="G511" s="206"/>
      <c r="H511" s="261"/>
      <c r="I511" s="262"/>
      <c r="J511" s="263"/>
      <c r="K511" s="254"/>
      <c r="L511" s="258"/>
      <c r="N511" s="251"/>
      <c r="O511" s="251"/>
      <c r="Q511" s="150"/>
      <c r="R511" s="150"/>
      <c r="S511" s="150"/>
      <c r="T511" s="150"/>
      <c r="U511" s="150"/>
      <c r="V511" s="150"/>
      <c r="W511" s="150"/>
      <c r="X511" s="150"/>
      <c r="Y511" s="150"/>
    </row>
    <row r="512" spans="2:25" ht="14.5" x14ac:dyDescent="0.35">
      <c r="B512" s="203">
        <f t="shared" si="21"/>
        <v>500</v>
      </c>
      <c r="C512" s="204">
        <f t="shared" si="18"/>
        <v>0</v>
      </c>
      <c r="D512" s="204" t="str">
        <f t="shared" si="19"/>
        <v/>
      </c>
      <c r="E512" s="203" t="str">
        <f t="shared" si="20"/>
        <v/>
      </c>
      <c r="F512" s="260"/>
      <c r="G512" s="206"/>
      <c r="H512" s="264"/>
      <c r="I512" s="262"/>
      <c r="J512" s="253"/>
      <c r="K512" s="254"/>
      <c r="L512" s="258"/>
      <c r="N512" s="251"/>
      <c r="O512" s="251"/>
      <c r="Q512" s="150"/>
      <c r="R512" s="150"/>
      <c r="S512" s="150"/>
      <c r="T512" s="150"/>
      <c r="U512" s="150"/>
      <c r="V512" s="150"/>
      <c r="W512" s="150"/>
      <c r="X512" s="150"/>
      <c r="Y512" s="150"/>
    </row>
    <row r="513" spans="2:25" ht="14.5" x14ac:dyDescent="0.35">
      <c r="B513" s="203">
        <f t="shared" si="21"/>
        <v>501</v>
      </c>
      <c r="C513" s="204">
        <f t="shared" si="18"/>
        <v>0</v>
      </c>
      <c r="D513" s="204" t="str">
        <f t="shared" si="19"/>
        <v/>
      </c>
      <c r="E513" s="203" t="str">
        <f t="shared" si="20"/>
        <v/>
      </c>
      <c r="F513" s="260"/>
      <c r="G513" s="206"/>
      <c r="H513" s="264"/>
      <c r="I513" s="262"/>
      <c r="J513" s="253"/>
      <c r="K513" s="254"/>
      <c r="L513" s="258"/>
      <c r="N513" s="251"/>
      <c r="O513" s="251"/>
      <c r="Q513" s="150"/>
      <c r="R513" s="150"/>
      <c r="S513" s="150"/>
      <c r="T513" s="150"/>
      <c r="U513" s="150"/>
      <c r="V513" s="150"/>
      <c r="W513" s="150"/>
      <c r="X513" s="150"/>
      <c r="Y513" s="150"/>
    </row>
    <row r="514" spans="2:25" ht="14.5" x14ac:dyDescent="0.35">
      <c r="B514" s="203">
        <f t="shared" si="21"/>
        <v>502</v>
      </c>
      <c r="C514" s="204">
        <f t="shared" si="18"/>
        <v>0</v>
      </c>
      <c r="D514" s="204" t="str">
        <f t="shared" si="19"/>
        <v/>
      </c>
      <c r="E514" s="203" t="str">
        <f t="shared" si="20"/>
        <v/>
      </c>
      <c r="F514" s="260"/>
      <c r="G514" s="206"/>
      <c r="H514" s="261"/>
      <c r="I514" s="262"/>
      <c r="J514" s="263"/>
      <c r="K514" s="254"/>
      <c r="L514" s="258"/>
      <c r="N514" s="251"/>
      <c r="O514" s="251"/>
      <c r="Q514" s="150"/>
      <c r="R514" s="150"/>
      <c r="S514" s="150"/>
      <c r="T514" s="150"/>
      <c r="U514" s="150"/>
      <c r="V514" s="150"/>
      <c r="W514" s="150"/>
      <c r="X514" s="150"/>
      <c r="Y514" s="150"/>
    </row>
    <row r="515" spans="2:25" ht="14.5" x14ac:dyDescent="0.35">
      <c r="B515" s="203">
        <f t="shared" si="21"/>
        <v>503</v>
      </c>
      <c r="C515" s="204">
        <f t="shared" si="18"/>
        <v>0</v>
      </c>
      <c r="D515" s="204" t="str">
        <f t="shared" si="19"/>
        <v/>
      </c>
      <c r="E515" s="203" t="str">
        <f t="shared" si="20"/>
        <v/>
      </c>
      <c r="F515" s="260"/>
      <c r="G515" s="206"/>
      <c r="H515" s="264"/>
      <c r="I515" s="262"/>
      <c r="J515" s="253"/>
      <c r="K515" s="254"/>
      <c r="L515" s="258"/>
      <c r="N515" s="251"/>
      <c r="O515" s="251"/>
      <c r="Q515" s="150"/>
      <c r="R515" s="150"/>
      <c r="S515" s="150"/>
      <c r="T515" s="150"/>
      <c r="U515" s="150"/>
      <c r="V515" s="150"/>
      <c r="W515" s="150"/>
      <c r="X515" s="150"/>
      <c r="Y515" s="150"/>
    </row>
    <row r="516" spans="2:25" ht="14.5" x14ac:dyDescent="0.35">
      <c r="B516" s="203">
        <f t="shared" si="21"/>
        <v>504</v>
      </c>
      <c r="C516" s="204">
        <f t="shared" si="18"/>
        <v>0</v>
      </c>
      <c r="D516" s="204" t="str">
        <f t="shared" si="19"/>
        <v/>
      </c>
      <c r="E516" s="203" t="str">
        <f t="shared" si="20"/>
        <v/>
      </c>
      <c r="F516" s="260"/>
      <c r="G516" s="206"/>
      <c r="H516" s="264"/>
      <c r="I516" s="262"/>
      <c r="J516" s="253"/>
      <c r="K516" s="254"/>
      <c r="L516" s="258"/>
      <c r="N516" s="251"/>
      <c r="O516" s="251"/>
      <c r="Q516" s="150"/>
      <c r="R516" s="150"/>
      <c r="S516" s="150"/>
      <c r="T516" s="150"/>
      <c r="U516" s="150"/>
      <c r="V516" s="150"/>
      <c r="W516" s="150"/>
      <c r="X516" s="150"/>
      <c r="Y516" s="150"/>
    </row>
    <row r="517" spans="2:25" ht="14.5" x14ac:dyDescent="0.35">
      <c r="B517" s="203">
        <f t="shared" si="21"/>
        <v>505</v>
      </c>
      <c r="C517" s="204">
        <f t="shared" si="18"/>
        <v>0</v>
      </c>
      <c r="D517" s="204" t="str">
        <f t="shared" si="19"/>
        <v/>
      </c>
      <c r="E517" s="203" t="str">
        <f t="shared" si="20"/>
        <v/>
      </c>
      <c r="F517" s="260"/>
      <c r="G517" s="206"/>
      <c r="H517" s="264"/>
      <c r="I517" s="262"/>
      <c r="J517" s="253"/>
      <c r="K517" s="254"/>
      <c r="L517" s="258"/>
      <c r="N517" s="251"/>
      <c r="O517" s="251"/>
      <c r="Q517" s="150"/>
      <c r="R517" s="150"/>
      <c r="S517" s="150"/>
      <c r="T517" s="150"/>
      <c r="U517" s="150"/>
      <c r="V517" s="150"/>
      <c r="W517" s="150"/>
      <c r="X517" s="150"/>
      <c r="Y517" s="150"/>
    </row>
    <row r="518" spans="2:25" ht="14.5" x14ac:dyDescent="0.35">
      <c r="B518" s="203">
        <f t="shared" si="21"/>
        <v>506</v>
      </c>
      <c r="C518" s="204">
        <f t="shared" si="18"/>
        <v>0</v>
      </c>
      <c r="D518" s="204" t="str">
        <f t="shared" si="19"/>
        <v/>
      </c>
      <c r="E518" s="203" t="str">
        <f t="shared" si="20"/>
        <v/>
      </c>
      <c r="F518" s="260"/>
      <c r="G518" s="206"/>
      <c r="H518" s="264"/>
      <c r="I518" s="262"/>
      <c r="J518" s="253"/>
      <c r="K518" s="254"/>
      <c r="L518" s="258"/>
      <c r="N518" s="251"/>
      <c r="O518" s="251"/>
      <c r="Q518" s="150"/>
      <c r="R518" s="150"/>
      <c r="S518" s="150"/>
      <c r="T518" s="150"/>
      <c r="U518" s="150"/>
      <c r="V518" s="150"/>
      <c r="W518" s="150"/>
      <c r="X518" s="150"/>
      <c r="Y518" s="150"/>
    </row>
    <row r="519" spans="2:25" ht="14.5" x14ac:dyDescent="0.35">
      <c r="B519" s="203">
        <f t="shared" si="21"/>
        <v>507</v>
      </c>
      <c r="C519" s="204">
        <f t="shared" si="18"/>
        <v>0</v>
      </c>
      <c r="D519" s="204" t="str">
        <f t="shared" si="19"/>
        <v/>
      </c>
      <c r="E519" s="203" t="str">
        <f t="shared" si="20"/>
        <v/>
      </c>
      <c r="F519" s="260"/>
      <c r="G519" s="206"/>
      <c r="H519" s="264"/>
      <c r="I519" s="262"/>
      <c r="J519" s="253"/>
      <c r="K519" s="254"/>
      <c r="L519" s="258"/>
      <c r="N519" s="251"/>
      <c r="O519" s="251"/>
      <c r="Q519" s="150"/>
      <c r="R519" s="150"/>
      <c r="S519" s="150"/>
      <c r="T519" s="150"/>
      <c r="U519" s="150"/>
      <c r="V519" s="150"/>
      <c r="W519" s="150"/>
      <c r="X519" s="150"/>
      <c r="Y519" s="150"/>
    </row>
    <row r="520" spans="2:25" ht="14.5" x14ac:dyDescent="0.35">
      <c r="B520" s="203">
        <f t="shared" si="21"/>
        <v>508</v>
      </c>
      <c r="C520" s="204">
        <f t="shared" si="18"/>
        <v>0</v>
      </c>
      <c r="D520" s="204" t="str">
        <f t="shared" si="19"/>
        <v/>
      </c>
      <c r="E520" s="203" t="str">
        <f t="shared" si="20"/>
        <v/>
      </c>
      <c r="F520" s="260"/>
      <c r="G520" s="206"/>
      <c r="H520" s="264"/>
      <c r="I520" s="262"/>
      <c r="J520" s="253"/>
      <c r="K520" s="254"/>
      <c r="L520" s="258"/>
      <c r="N520" s="251"/>
      <c r="O520" s="251"/>
      <c r="Q520" s="150"/>
      <c r="R520" s="150"/>
      <c r="S520" s="150"/>
      <c r="T520" s="150"/>
      <c r="U520" s="150"/>
      <c r="V520" s="150"/>
      <c r="W520" s="150"/>
      <c r="X520" s="150"/>
      <c r="Y520" s="150"/>
    </row>
    <row r="521" spans="2:25" ht="14.5" x14ac:dyDescent="0.35">
      <c r="B521" s="203">
        <f t="shared" si="21"/>
        <v>509</v>
      </c>
      <c r="C521" s="204">
        <f t="shared" si="18"/>
        <v>0</v>
      </c>
      <c r="D521" s="204" t="str">
        <f t="shared" si="19"/>
        <v/>
      </c>
      <c r="E521" s="203" t="str">
        <f t="shared" si="20"/>
        <v/>
      </c>
      <c r="F521" s="260"/>
      <c r="G521" s="206"/>
      <c r="H521" s="264"/>
      <c r="I521" s="262"/>
      <c r="J521" s="253"/>
      <c r="K521" s="254"/>
      <c r="L521" s="258"/>
      <c r="N521" s="251"/>
      <c r="O521" s="251"/>
      <c r="Q521" s="150"/>
      <c r="R521" s="150"/>
      <c r="S521" s="150"/>
      <c r="T521" s="150"/>
      <c r="U521" s="150"/>
      <c r="V521" s="150"/>
      <c r="W521" s="150"/>
      <c r="X521" s="150"/>
      <c r="Y521" s="150"/>
    </row>
    <row r="522" spans="2:25" ht="14.5" x14ac:dyDescent="0.35">
      <c r="B522" s="203">
        <f t="shared" si="21"/>
        <v>510</v>
      </c>
      <c r="C522" s="204">
        <f t="shared" si="18"/>
        <v>0</v>
      </c>
      <c r="D522" s="204" t="str">
        <f t="shared" si="19"/>
        <v/>
      </c>
      <c r="E522" s="203" t="str">
        <f t="shared" si="20"/>
        <v/>
      </c>
      <c r="F522" s="260"/>
      <c r="G522" s="206"/>
      <c r="H522" s="264"/>
      <c r="I522" s="262"/>
      <c r="J522" s="253"/>
      <c r="K522" s="254"/>
      <c r="L522" s="258"/>
      <c r="N522" s="251"/>
      <c r="O522" s="251"/>
      <c r="Q522" s="150"/>
      <c r="R522" s="150"/>
      <c r="S522" s="150"/>
      <c r="T522" s="150"/>
      <c r="U522" s="150"/>
      <c r="V522" s="150"/>
      <c r="W522" s="150"/>
      <c r="X522" s="150"/>
      <c r="Y522" s="150"/>
    </row>
    <row r="523" spans="2:25" ht="14.5" x14ac:dyDescent="0.35">
      <c r="B523" s="203">
        <f t="shared" si="21"/>
        <v>511</v>
      </c>
      <c r="C523" s="204">
        <f t="shared" si="18"/>
        <v>0</v>
      </c>
      <c r="D523" s="204" t="str">
        <f t="shared" si="19"/>
        <v/>
      </c>
      <c r="E523" s="203" t="str">
        <f t="shared" si="20"/>
        <v/>
      </c>
      <c r="F523" s="260"/>
      <c r="G523" s="206"/>
      <c r="H523" s="264"/>
      <c r="I523" s="262"/>
      <c r="J523" s="253"/>
      <c r="K523" s="254"/>
      <c r="L523" s="258"/>
      <c r="N523" s="251"/>
      <c r="O523" s="251"/>
      <c r="Q523" s="150"/>
      <c r="R523" s="150"/>
      <c r="S523" s="150"/>
      <c r="T523" s="150"/>
      <c r="U523" s="150"/>
      <c r="V523" s="150"/>
      <c r="W523" s="150"/>
      <c r="X523" s="150"/>
      <c r="Y523" s="150"/>
    </row>
    <row r="524" spans="2:25" ht="14.5" x14ac:dyDescent="0.35">
      <c r="B524" s="203">
        <f t="shared" si="21"/>
        <v>512</v>
      </c>
      <c r="C524" s="204">
        <f t="shared" si="18"/>
        <v>0</v>
      </c>
      <c r="D524" s="204" t="str">
        <f t="shared" si="19"/>
        <v/>
      </c>
      <c r="E524" s="203" t="str">
        <f t="shared" si="20"/>
        <v/>
      </c>
      <c r="F524" s="260"/>
      <c r="G524" s="206"/>
      <c r="H524" s="264"/>
      <c r="I524" s="262"/>
      <c r="J524" s="253"/>
      <c r="K524" s="254"/>
      <c r="L524" s="258"/>
      <c r="N524" s="251"/>
      <c r="O524" s="251"/>
      <c r="Q524" s="150"/>
      <c r="R524" s="150"/>
      <c r="S524" s="150"/>
      <c r="T524" s="150"/>
      <c r="U524" s="150"/>
      <c r="V524" s="150"/>
      <c r="W524" s="150"/>
      <c r="X524" s="150"/>
      <c r="Y524" s="150"/>
    </row>
    <row r="525" spans="2:25" ht="14.5" x14ac:dyDescent="0.35">
      <c r="B525" s="203">
        <f t="shared" si="21"/>
        <v>513</v>
      </c>
      <c r="C525" s="204">
        <f t="shared" ref="C525:C588" si="22">IFERROR(DAY(F525),0)</f>
        <v>0</v>
      </c>
      <c r="D525" s="204" t="str">
        <f t="shared" ref="D525:D588" si="23">IFERROR(IF(F525="","",TEXT(DATE(0,MONTH(F525),1),"MMM")),"date issue")</f>
        <v/>
      </c>
      <c r="E525" s="203" t="str">
        <f t="shared" ref="E525:E588" si="24">IFERROR(IF(OR(C525=1,C525=2,C525=3,C525=4,C525=5,C525=6,C525=7),1,IF(OR(C525=8,C525=9,C525=10,C525=11,C525=12,C525=13,C525=14),2,IF(OR(C525=15,C525=16,C525=17,C525=18,C525=19,C525=20,C525=21),3,IF(OR(C525=22,C525=23,C525=24,C525=25,C525=26,C525=27,C525=28),4,IF(OR(C525=29,C525=30,C525=31),5,""))))),0)</f>
        <v/>
      </c>
      <c r="F525" s="260"/>
      <c r="G525" s="206"/>
      <c r="H525" s="264"/>
      <c r="I525" s="262"/>
      <c r="J525" s="253"/>
      <c r="K525" s="254"/>
      <c r="L525" s="258"/>
      <c r="N525" s="251"/>
      <c r="O525" s="251"/>
      <c r="Q525" s="150"/>
      <c r="R525" s="150"/>
      <c r="S525" s="150"/>
      <c r="T525" s="150"/>
      <c r="U525" s="150"/>
      <c r="V525" s="150"/>
      <c r="W525" s="150"/>
      <c r="X525" s="150"/>
      <c r="Y525" s="150"/>
    </row>
    <row r="526" spans="2:25" ht="14.5" x14ac:dyDescent="0.35">
      <c r="B526" s="203">
        <f t="shared" si="21"/>
        <v>514</v>
      </c>
      <c r="C526" s="204">
        <f t="shared" si="22"/>
        <v>0</v>
      </c>
      <c r="D526" s="204" t="str">
        <f t="shared" si="23"/>
        <v/>
      </c>
      <c r="E526" s="203" t="str">
        <f t="shared" si="24"/>
        <v/>
      </c>
      <c r="F526" s="260"/>
      <c r="G526" s="206"/>
      <c r="H526" s="264"/>
      <c r="I526" s="262"/>
      <c r="J526" s="253"/>
      <c r="K526" s="254"/>
      <c r="L526" s="258"/>
      <c r="N526" s="251"/>
      <c r="O526" s="251"/>
      <c r="Q526" s="150"/>
      <c r="R526" s="150"/>
      <c r="S526" s="150"/>
      <c r="T526" s="150"/>
      <c r="U526" s="150"/>
      <c r="V526" s="150"/>
      <c r="W526" s="150"/>
      <c r="X526" s="150"/>
      <c r="Y526" s="150"/>
    </row>
    <row r="527" spans="2:25" ht="14.5" x14ac:dyDescent="0.35">
      <c r="B527" s="203">
        <f t="shared" si="21"/>
        <v>515</v>
      </c>
      <c r="C527" s="204">
        <f t="shared" si="22"/>
        <v>0</v>
      </c>
      <c r="D527" s="204" t="str">
        <f t="shared" si="23"/>
        <v/>
      </c>
      <c r="E527" s="203" t="str">
        <f t="shared" si="24"/>
        <v/>
      </c>
      <c r="F527" s="260"/>
      <c r="G527" s="206"/>
      <c r="H527" s="261"/>
      <c r="I527" s="262"/>
      <c r="J527" s="262"/>
      <c r="K527" s="266"/>
      <c r="L527" s="258"/>
      <c r="N527" s="251"/>
      <c r="O527" s="251"/>
      <c r="Q527" s="150"/>
      <c r="R527" s="150"/>
      <c r="S527" s="150"/>
      <c r="T527" s="150"/>
      <c r="U527" s="150"/>
      <c r="V527" s="150"/>
      <c r="W527" s="150"/>
      <c r="X527" s="150"/>
      <c r="Y527" s="150"/>
    </row>
    <row r="528" spans="2:25" ht="14.5" x14ac:dyDescent="0.35">
      <c r="B528" s="203">
        <f t="shared" si="21"/>
        <v>516</v>
      </c>
      <c r="C528" s="204">
        <f t="shared" si="22"/>
        <v>0</v>
      </c>
      <c r="D528" s="204" t="str">
        <f t="shared" si="23"/>
        <v/>
      </c>
      <c r="E528" s="203" t="str">
        <f t="shared" si="24"/>
        <v/>
      </c>
      <c r="F528" s="260"/>
      <c r="G528" s="206"/>
      <c r="H528" s="264"/>
      <c r="I528" s="262"/>
      <c r="J528" s="267"/>
      <c r="K528" s="266"/>
      <c r="L528" s="258"/>
      <c r="N528" s="251"/>
      <c r="O528" s="251"/>
      <c r="Q528" s="150"/>
      <c r="R528" s="150"/>
      <c r="S528" s="150"/>
      <c r="T528" s="150"/>
      <c r="U528" s="150"/>
      <c r="V528" s="150"/>
      <c r="W528" s="150"/>
      <c r="X528" s="150"/>
      <c r="Y528" s="150"/>
    </row>
    <row r="529" spans="2:25" ht="14.5" x14ac:dyDescent="0.35">
      <c r="B529" s="203">
        <f t="shared" si="21"/>
        <v>517</v>
      </c>
      <c r="C529" s="204">
        <f t="shared" si="22"/>
        <v>0</v>
      </c>
      <c r="D529" s="204" t="str">
        <f t="shared" si="23"/>
        <v/>
      </c>
      <c r="E529" s="203" t="str">
        <f t="shared" si="24"/>
        <v/>
      </c>
      <c r="F529" s="260"/>
      <c r="G529" s="206"/>
      <c r="H529" s="264"/>
      <c r="I529" s="262"/>
      <c r="J529" s="267"/>
      <c r="K529" s="266"/>
      <c r="L529" s="258"/>
      <c r="N529" s="251"/>
      <c r="O529" s="251"/>
      <c r="Q529" s="150"/>
      <c r="R529" s="150"/>
      <c r="S529" s="150"/>
      <c r="T529" s="150"/>
      <c r="U529" s="150"/>
      <c r="V529" s="150"/>
      <c r="W529" s="150"/>
      <c r="X529" s="150"/>
      <c r="Y529" s="150"/>
    </row>
    <row r="530" spans="2:25" ht="14.5" x14ac:dyDescent="0.35">
      <c r="B530" s="203">
        <f t="shared" si="21"/>
        <v>518</v>
      </c>
      <c r="C530" s="204">
        <f t="shared" si="22"/>
        <v>0</v>
      </c>
      <c r="D530" s="204" t="str">
        <f t="shared" si="23"/>
        <v/>
      </c>
      <c r="E530" s="203" t="str">
        <f t="shared" si="24"/>
        <v/>
      </c>
      <c r="F530" s="260"/>
      <c r="G530" s="206"/>
      <c r="H530" s="264"/>
      <c r="I530" s="262"/>
      <c r="J530" s="267"/>
      <c r="K530" s="266"/>
      <c r="L530" s="258"/>
      <c r="N530" s="251"/>
      <c r="O530" s="251"/>
      <c r="Q530" s="150"/>
      <c r="R530" s="150"/>
      <c r="S530" s="150"/>
      <c r="T530" s="150"/>
      <c r="U530" s="150"/>
      <c r="V530" s="150"/>
      <c r="W530" s="150"/>
      <c r="X530" s="150"/>
      <c r="Y530" s="150"/>
    </row>
    <row r="531" spans="2:25" ht="14.5" x14ac:dyDescent="0.35">
      <c r="B531" s="203">
        <f t="shared" si="21"/>
        <v>519</v>
      </c>
      <c r="C531" s="204">
        <f t="shared" si="22"/>
        <v>0</v>
      </c>
      <c r="D531" s="204" t="str">
        <f t="shared" si="23"/>
        <v/>
      </c>
      <c r="E531" s="203" t="str">
        <f t="shared" si="24"/>
        <v/>
      </c>
      <c r="F531" s="260"/>
      <c r="G531" s="206"/>
      <c r="H531" s="264"/>
      <c r="I531" s="262"/>
      <c r="J531" s="267"/>
      <c r="K531" s="266"/>
      <c r="L531" s="258"/>
      <c r="N531" s="251"/>
      <c r="O531" s="251"/>
      <c r="Q531" s="150"/>
      <c r="R531" s="150"/>
      <c r="S531" s="150"/>
      <c r="T531" s="150"/>
      <c r="U531" s="150"/>
      <c r="V531" s="150"/>
      <c r="W531" s="150"/>
      <c r="X531" s="150"/>
      <c r="Y531" s="150"/>
    </row>
    <row r="532" spans="2:25" ht="14.5" x14ac:dyDescent="0.35">
      <c r="B532" s="203">
        <f t="shared" si="21"/>
        <v>520</v>
      </c>
      <c r="C532" s="204">
        <f t="shared" si="22"/>
        <v>0</v>
      </c>
      <c r="D532" s="204" t="str">
        <f t="shared" si="23"/>
        <v/>
      </c>
      <c r="E532" s="203" t="str">
        <f t="shared" si="24"/>
        <v/>
      </c>
      <c r="F532" s="260"/>
      <c r="G532" s="206"/>
      <c r="H532" s="264"/>
      <c r="I532" s="262"/>
      <c r="J532" s="267"/>
      <c r="K532" s="266"/>
      <c r="L532" s="258"/>
      <c r="N532" s="251"/>
      <c r="O532" s="251"/>
      <c r="Q532" s="150"/>
      <c r="R532" s="150"/>
      <c r="S532" s="150"/>
      <c r="T532" s="150"/>
      <c r="U532" s="150"/>
      <c r="V532" s="150"/>
      <c r="W532" s="150"/>
      <c r="X532" s="150"/>
      <c r="Y532" s="150"/>
    </row>
    <row r="533" spans="2:25" ht="14.5" x14ac:dyDescent="0.35">
      <c r="B533" s="203">
        <f t="shared" si="21"/>
        <v>521</v>
      </c>
      <c r="C533" s="204">
        <f t="shared" si="22"/>
        <v>0</v>
      </c>
      <c r="D533" s="204" t="str">
        <f t="shared" si="23"/>
        <v/>
      </c>
      <c r="E533" s="203" t="str">
        <f t="shared" si="24"/>
        <v/>
      </c>
      <c r="F533" s="260"/>
      <c r="G533" s="206"/>
      <c r="H533" s="264"/>
      <c r="I533" s="262"/>
      <c r="J533" s="267"/>
      <c r="K533" s="266"/>
      <c r="L533" s="258"/>
      <c r="N533" s="251"/>
      <c r="O533" s="251"/>
      <c r="Q533" s="150"/>
      <c r="R533" s="150"/>
      <c r="S533" s="150"/>
      <c r="T533" s="150"/>
      <c r="U533" s="150"/>
      <c r="V533" s="150"/>
      <c r="W533" s="150"/>
      <c r="X533" s="150"/>
      <c r="Y533" s="150"/>
    </row>
    <row r="534" spans="2:25" ht="14.5" x14ac:dyDescent="0.35">
      <c r="B534" s="203">
        <f t="shared" si="21"/>
        <v>522</v>
      </c>
      <c r="C534" s="204">
        <f t="shared" si="22"/>
        <v>0</v>
      </c>
      <c r="D534" s="204" t="str">
        <f t="shared" si="23"/>
        <v/>
      </c>
      <c r="E534" s="203" t="str">
        <f t="shared" si="24"/>
        <v/>
      </c>
      <c r="F534" s="260"/>
      <c r="G534" s="206"/>
      <c r="H534" s="264"/>
      <c r="I534" s="262"/>
      <c r="J534" s="267"/>
      <c r="K534" s="266"/>
      <c r="L534" s="258"/>
      <c r="N534" s="251"/>
      <c r="O534" s="251"/>
      <c r="Q534" s="150"/>
      <c r="R534" s="150"/>
      <c r="S534" s="150"/>
      <c r="T534" s="150"/>
      <c r="U534" s="150"/>
      <c r="V534" s="150"/>
      <c r="W534" s="150"/>
      <c r="X534" s="150"/>
      <c r="Y534" s="150"/>
    </row>
    <row r="535" spans="2:25" ht="14.5" x14ac:dyDescent="0.35">
      <c r="B535" s="203">
        <f t="shared" ref="B535:B598" si="25">B534+1</f>
        <v>523</v>
      </c>
      <c r="C535" s="204">
        <f t="shared" si="22"/>
        <v>0</v>
      </c>
      <c r="D535" s="204" t="str">
        <f t="shared" si="23"/>
        <v/>
      </c>
      <c r="E535" s="203" t="str">
        <f t="shared" si="24"/>
        <v/>
      </c>
      <c r="F535" s="260"/>
      <c r="G535" s="206"/>
      <c r="H535" s="264"/>
      <c r="I535" s="262"/>
      <c r="J535" s="267"/>
      <c r="K535" s="266"/>
      <c r="L535" s="258"/>
      <c r="N535" s="251"/>
      <c r="O535" s="251"/>
      <c r="Q535" s="150"/>
      <c r="R535" s="150"/>
      <c r="S535" s="150"/>
      <c r="T535" s="150"/>
      <c r="U535" s="150"/>
      <c r="V535" s="150"/>
      <c r="W535" s="150"/>
      <c r="X535" s="150"/>
      <c r="Y535" s="150"/>
    </row>
    <row r="536" spans="2:25" ht="14.5" x14ac:dyDescent="0.35">
      <c r="B536" s="203">
        <f t="shared" si="25"/>
        <v>524</v>
      </c>
      <c r="C536" s="204">
        <f t="shared" si="22"/>
        <v>0</v>
      </c>
      <c r="D536" s="204" t="str">
        <f t="shared" si="23"/>
        <v/>
      </c>
      <c r="E536" s="203" t="str">
        <f t="shared" si="24"/>
        <v/>
      </c>
      <c r="F536" s="260"/>
      <c r="G536" s="206"/>
      <c r="H536" s="264"/>
      <c r="I536" s="262"/>
      <c r="J536" s="267"/>
      <c r="K536" s="266"/>
      <c r="L536" s="258"/>
      <c r="N536" s="251"/>
      <c r="O536" s="251"/>
      <c r="Q536" s="150"/>
      <c r="R536" s="150"/>
      <c r="S536" s="150"/>
      <c r="T536" s="150"/>
      <c r="U536" s="150"/>
      <c r="V536" s="150"/>
      <c r="W536" s="150"/>
      <c r="X536" s="150"/>
      <c r="Y536" s="150"/>
    </row>
    <row r="537" spans="2:25" ht="14.5" x14ac:dyDescent="0.35">
      <c r="B537" s="203">
        <f t="shared" si="25"/>
        <v>525</v>
      </c>
      <c r="C537" s="204">
        <f t="shared" si="22"/>
        <v>0</v>
      </c>
      <c r="D537" s="204" t="str">
        <f t="shared" si="23"/>
        <v/>
      </c>
      <c r="E537" s="203" t="str">
        <f t="shared" si="24"/>
        <v/>
      </c>
      <c r="F537" s="260"/>
      <c r="G537" s="206"/>
      <c r="H537" s="264"/>
      <c r="I537" s="262"/>
      <c r="J537" s="267"/>
      <c r="K537" s="266"/>
      <c r="L537" s="258"/>
      <c r="N537" s="251"/>
      <c r="O537" s="251"/>
      <c r="Q537" s="150"/>
      <c r="R537" s="150"/>
      <c r="S537" s="150"/>
      <c r="T537" s="150"/>
      <c r="U537" s="150"/>
      <c r="V537" s="150"/>
      <c r="W537" s="150"/>
      <c r="X537" s="150"/>
      <c r="Y537" s="150"/>
    </row>
    <row r="538" spans="2:25" ht="14.5" x14ac:dyDescent="0.35">
      <c r="B538" s="203">
        <f t="shared" si="25"/>
        <v>526</v>
      </c>
      <c r="C538" s="204">
        <f t="shared" si="22"/>
        <v>0</v>
      </c>
      <c r="D538" s="204" t="str">
        <f t="shared" si="23"/>
        <v/>
      </c>
      <c r="E538" s="203" t="str">
        <f t="shared" si="24"/>
        <v/>
      </c>
      <c r="F538" s="260"/>
      <c r="G538" s="206"/>
      <c r="H538" s="264"/>
      <c r="I538" s="262"/>
      <c r="J538" s="267"/>
      <c r="K538" s="266"/>
      <c r="L538" s="258"/>
      <c r="N538" s="251"/>
      <c r="O538" s="251"/>
      <c r="Q538" s="150"/>
      <c r="R538" s="150"/>
      <c r="S538" s="150"/>
      <c r="T538" s="150"/>
      <c r="U538" s="150"/>
      <c r="V538" s="150"/>
      <c r="W538" s="150"/>
      <c r="X538" s="150"/>
      <c r="Y538" s="150"/>
    </row>
    <row r="539" spans="2:25" ht="14.5" x14ac:dyDescent="0.35">
      <c r="B539" s="203">
        <f t="shared" si="25"/>
        <v>527</v>
      </c>
      <c r="C539" s="204">
        <f t="shared" si="22"/>
        <v>0</v>
      </c>
      <c r="D539" s="204" t="str">
        <f t="shared" si="23"/>
        <v/>
      </c>
      <c r="E539" s="203" t="str">
        <f t="shared" si="24"/>
        <v/>
      </c>
      <c r="F539" s="260"/>
      <c r="G539" s="206"/>
      <c r="H539" s="264"/>
      <c r="I539" s="262"/>
      <c r="J539" s="267"/>
      <c r="K539" s="266"/>
      <c r="L539" s="258"/>
      <c r="N539" s="251"/>
      <c r="O539" s="251"/>
      <c r="Q539" s="150"/>
      <c r="R539" s="150"/>
      <c r="S539" s="150"/>
      <c r="T539" s="150"/>
      <c r="U539" s="150"/>
      <c r="V539" s="150"/>
      <c r="W539" s="150"/>
      <c r="X539" s="150"/>
      <c r="Y539" s="150"/>
    </row>
    <row r="540" spans="2:25" ht="14.5" x14ac:dyDescent="0.35">
      <c r="B540" s="203">
        <f t="shared" si="25"/>
        <v>528</v>
      </c>
      <c r="C540" s="204">
        <f t="shared" si="22"/>
        <v>0</v>
      </c>
      <c r="D540" s="204" t="str">
        <f t="shared" si="23"/>
        <v/>
      </c>
      <c r="E540" s="203" t="str">
        <f t="shared" si="24"/>
        <v/>
      </c>
      <c r="F540" s="260"/>
      <c r="G540" s="206"/>
      <c r="H540" s="264"/>
      <c r="I540" s="262"/>
      <c r="J540" s="267"/>
      <c r="K540" s="266"/>
      <c r="L540" s="258"/>
      <c r="N540" s="251"/>
      <c r="O540" s="251"/>
      <c r="Q540" s="150"/>
      <c r="R540" s="150"/>
      <c r="S540" s="150"/>
      <c r="T540" s="150"/>
      <c r="U540" s="150"/>
      <c r="V540" s="150"/>
      <c r="W540" s="150"/>
      <c r="X540" s="150"/>
      <c r="Y540" s="150"/>
    </row>
    <row r="541" spans="2:25" ht="14.5" x14ac:dyDescent="0.35">
      <c r="B541" s="203">
        <f t="shared" si="25"/>
        <v>529</v>
      </c>
      <c r="C541" s="204">
        <f t="shared" si="22"/>
        <v>0</v>
      </c>
      <c r="D541" s="204" t="str">
        <f t="shared" si="23"/>
        <v/>
      </c>
      <c r="E541" s="203" t="str">
        <f t="shared" si="24"/>
        <v/>
      </c>
      <c r="F541" s="260"/>
      <c r="G541" s="206"/>
      <c r="H541" s="264"/>
      <c r="I541" s="262"/>
      <c r="J541" s="267"/>
      <c r="K541" s="266"/>
      <c r="L541" s="258"/>
      <c r="N541" s="251"/>
      <c r="O541" s="251"/>
      <c r="Q541" s="150"/>
      <c r="R541" s="150"/>
      <c r="S541" s="150"/>
      <c r="T541" s="150"/>
      <c r="U541" s="150"/>
      <c r="V541" s="150"/>
      <c r="W541" s="150"/>
      <c r="X541" s="150"/>
      <c r="Y541" s="150"/>
    </row>
    <row r="542" spans="2:25" ht="14.5" x14ac:dyDescent="0.35">
      <c r="B542" s="203">
        <f t="shared" si="25"/>
        <v>530</v>
      </c>
      <c r="C542" s="204">
        <f t="shared" si="22"/>
        <v>0</v>
      </c>
      <c r="D542" s="204" t="str">
        <f t="shared" si="23"/>
        <v/>
      </c>
      <c r="E542" s="203" t="str">
        <f t="shared" si="24"/>
        <v/>
      </c>
      <c r="F542" s="260"/>
      <c r="G542" s="206"/>
      <c r="H542" s="264"/>
      <c r="I542" s="262"/>
      <c r="J542" s="258"/>
      <c r="K542" s="266"/>
      <c r="L542" s="258"/>
      <c r="N542" s="251"/>
      <c r="O542" s="251"/>
      <c r="Q542" s="150"/>
      <c r="R542" s="150"/>
      <c r="S542" s="150"/>
      <c r="T542" s="150"/>
      <c r="U542" s="150"/>
      <c r="V542" s="150"/>
      <c r="W542" s="150"/>
      <c r="X542" s="150"/>
      <c r="Y542" s="150"/>
    </row>
    <row r="543" spans="2:25" ht="14.5" x14ac:dyDescent="0.35">
      <c r="B543" s="203">
        <f t="shared" si="25"/>
        <v>531</v>
      </c>
      <c r="C543" s="204">
        <f t="shared" si="22"/>
        <v>0</v>
      </c>
      <c r="D543" s="204" t="str">
        <f t="shared" si="23"/>
        <v/>
      </c>
      <c r="E543" s="203" t="str">
        <f t="shared" si="24"/>
        <v/>
      </c>
      <c r="F543" s="260"/>
      <c r="G543" s="206"/>
      <c r="H543" s="264"/>
      <c r="I543" s="268"/>
      <c r="J543" s="258"/>
      <c r="K543" s="266"/>
      <c r="L543" s="258"/>
      <c r="N543" s="251"/>
      <c r="O543" s="251"/>
      <c r="Q543" s="150"/>
      <c r="R543" s="150"/>
      <c r="S543" s="150"/>
      <c r="T543" s="150"/>
      <c r="U543" s="150"/>
      <c r="V543" s="150"/>
      <c r="W543" s="150"/>
      <c r="X543" s="150"/>
      <c r="Y543" s="150"/>
    </row>
    <row r="544" spans="2:25" ht="14.5" x14ac:dyDescent="0.35">
      <c r="B544" s="203">
        <f t="shared" si="25"/>
        <v>532</v>
      </c>
      <c r="C544" s="204">
        <f t="shared" si="22"/>
        <v>0</v>
      </c>
      <c r="D544" s="204" t="str">
        <f t="shared" si="23"/>
        <v/>
      </c>
      <c r="E544" s="203" t="str">
        <f t="shared" si="24"/>
        <v/>
      </c>
      <c r="F544" s="260"/>
      <c r="G544" s="206"/>
      <c r="H544" s="261"/>
      <c r="I544" s="262"/>
      <c r="J544" s="262"/>
      <c r="K544" s="266"/>
      <c r="L544" s="258"/>
      <c r="N544" s="251"/>
      <c r="O544" s="251"/>
      <c r="Q544" s="150"/>
      <c r="R544" s="150"/>
      <c r="S544" s="150"/>
      <c r="T544" s="150"/>
      <c r="U544" s="150"/>
      <c r="V544" s="150"/>
      <c r="W544" s="150"/>
      <c r="X544" s="150"/>
      <c r="Y544" s="150"/>
    </row>
    <row r="545" spans="2:25" ht="14.5" x14ac:dyDescent="0.35">
      <c r="B545" s="203">
        <f t="shared" si="25"/>
        <v>533</v>
      </c>
      <c r="C545" s="204">
        <f t="shared" si="22"/>
        <v>0</v>
      </c>
      <c r="D545" s="204" t="str">
        <f t="shared" si="23"/>
        <v/>
      </c>
      <c r="E545" s="203" t="str">
        <f t="shared" si="24"/>
        <v/>
      </c>
      <c r="F545" s="260"/>
      <c r="G545" s="206"/>
      <c r="H545" s="264"/>
      <c r="I545" s="262"/>
      <c r="J545" s="258"/>
      <c r="K545" s="266"/>
      <c r="L545" s="258"/>
      <c r="N545" s="251"/>
      <c r="O545" s="251"/>
      <c r="Q545" s="150"/>
      <c r="R545" s="150"/>
      <c r="S545" s="150"/>
      <c r="T545" s="150"/>
      <c r="U545" s="150"/>
      <c r="V545" s="150"/>
      <c r="W545" s="150"/>
      <c r="X545" s="150"/>
      <c r="Y545" s="150"/>
    </row>
    <row r="546" spans="2:25" ht="14.5" x14ac:dyDescent="0.35">
      <c r="B546" s="203">
        <f t="shared" si="25"/>
        <v>534</v>
      </c>
      <c r="C546" s="204">
        <f t="shared" si="22"/>
        <v>0</v>
      </c>
      <c r="D546" s="204" t="str">
        <f t="shared" si="23"/>
        <v/>
      </c>
      <c r="E546" s="203" t="str">
        <f t="shared" si="24"/>
        <v/>
      </c>
      <c r="F546" s="260"/>
      <c r="G546" s="206"/>
      <c r="H546" s="264"/>
      <c r="I546" s="262"/>
      <c r="J546" s="258"/>
      <c r="K546" s="266"/>
      <c r="L546" s="258"/>
      <c r="N546" s="251"/>
      <c r="O546" s="251"/>
      <c r="Q546" s="150"/>
      <c r="R546" s="150"/>
      <c r="S546" s="150"/>
      <c r="T546" s="150"/>
      <c r="U546" s="150"/>
      <c r="V546" s="150"/>
      <c r="W546" s="150"/>
      <c r="X546" s="150"/>
      <c r="Y546" s="150"/>
    </row>
    <row r="547" spans="2:25" ht="14.5" x14ac:dyDescent="0.35">
      <c r="B547" s="203">
        <f t="shared" si="25"/>
        <v>535</v>
      </c>
      <c r="C547" s="204">
        <f t="shared" si="22"/>
        <v>0</v>
      </c>
      <c r="D547" s="204" t="str">
        <f t="shared" si="23"/>
        <v/>
      </c>
      <c r="E547" s="203" t="str">
        <f t="shared" si="24"/>
        <v/>
      </c>
      <c r="F547" s="260"/>
      <c r="G547" s="206"/>
      <c r="H547" s="264"/>
      <c r="I547" s="262"/>
      <c r="J547" s="258"/>
      <c r="K547" s="266"/>
      <c r="L547" s="258"/>
      <c r="N547" s="251"/>
      <c r="O547" s="251"/>
      <c r="Q547" s="150"/>
      <c r="R547" s="150"/>
      <c r="S547" s="150"/>
      <c r="T547" s="150"/>
      <c r="U547" s="150"/>
      <c r="V547" s="150"/>
      <c r="W547" s="150"/>
      <c r="X547" s="150"/>
      <c r="Y547" s="150"/>
    </row>
    <row r="548" spans="2:25" ht="14.5" x14ac:dyDescent="0.35">
      <c r="B548" s="203">
        <f t="shared" si="25"/>
        <v>536</v>
      </c>
      <c r="C548" s="204">
        <f t="shared" si="22"/>
        <v>0</v>
      </c>
      <c r="D548" s="204" t="str">
        <f t="shared" si="23"/>
        <v/>
      </c>
      <c r="E548" s="203" t="str">
        <f t="shared" si="24"/>
        <v/>
      </c>
      <c r="F548" s="269"/>
      <c r="G548" s="206"/>
      <c r="H548" s="270"/>
      <c r="I548" s="271"/>
      <c r="J548" s="258"/>
      <c r="K548" s="266"/>
      <c r="L548" s="270"/>
      <c r="N548" s="251"/>
      <c r="O548" s="251"/>
      <c r="Q548" s="150"/>
      <c r="R548" s="150"/>
      <c r="S548" s="150"/>
      <c r="T548" s="150"/>
      <c r="U548" s="150"/>
      <c r="V548" s="150"/>
      <c r="W548" s="150"/>
      <c r="X548" s="150"/>
      <c r="Y548" s="150"/>
    </row>
    <row r="549" spans="2:25" ht="14.5" x14ac:dyDescent="0.35">
      <c r="B549" s="203">
        <f t="shared" si="25"/>
        <v>537</v>
      </c>
      <c r="C549" s="204">
        <f t="shared" si="22"/>
        <v>0</v>
      </c>
      <c r="D549" s="204" t="str">
        <f t="shared" si="23"/>
        <v/>
      </c>
      <c r="E549" s="203" t="str">
        <f t="shared" si="24"/>
        <v/>
      </c>
      <c r="F549" s="269"/>
      <c r="G549" s="206"/>
      <c r="H549" s="270"/>
      <c r="I549" s="271"/>
      <c r="J549" s="258"/>
      <c r="K549" s="266"/>
      <c r="L549" s="270"/>
      <c r="N549" s="251"/>
      <c r="O549" s="251"/>
      <c r="Q549" s="150"/>
      <c r="R549" s="150"/>
      <c r="S549" s="150"/>
      <c r="T549" s="150"/>
      <c r="U549" s="150"/>
      <c r="V549" s="150"/>
      <c r="W549" s="150"/>
      <c r="X549" s="150"/>
      <c r="Y549" s="150"/>
    </row>
    <row r="550" spans="2:25" ht="14.5" x14ac:dyDescent="0.35">
      <c r="B550" s="203">
        <f t="shared" si="25"/>
        <v>538</v>
      </c>
      <c r="C550" s="204">
        <f t="shared" si="22"/>
        <v>0</v>
      </c>
      <c r="D550" s="204" t="str">
        <f t="shared" si="23"/>
        <v/>
      </c>
      <c r="E550" s="203" t="str">
        <f t="shared" si="24"/>
        <v/>
      </c>
      <c r="F550" s="269"/>
      <c r="G550" s="206"/>
      <c r="H550" s="270"/>
      <c r="I550" s="271"/>
      <c r="J550" s="258"/>
      <c r="K550" s="266"/>
      <c r="L550" s="270"/>
      <c r="N550" s="251"/>
      <c r="O550" s="251"/>
      <c r="Q550" s="150"/>
      <c r="R550" s="150"/>
      <c r="S550" s="150"/>
      <c r="T550" s="150"/>
      <c r="U550" s="150"/>
      <c r="V550" s="150"/>
      <c r="W550" s="150"/>
      <c r="X550" s="150"/>
      <c r="Y550" s="150"/>
    </row>
    <row r="551" spans="2:25" ht="14.5" x14ac:dyDescent="0.35">
      <c r="B551" s="203">
        <f t="shared" si="25"/>
        <v>539</v>
      </c>
      <c r="C551" s="204">
        <f t="shared" si="22"/>
        <v>0</v>
      </c>
      <c r="D551" s="204" t="str">
        <f t="shared" si="23"/>
        <v/>
      </c>
      <c r="E551" s="203" t="str">
        <f t="shared" si="24"/>
        <v/>
      </c>
      <c r="F551" s="269"/>
      <c r="G551" s="206"/>
      <c r="H551" s="270"/>
      <c r="I551" s="271"/>
      <c r="J551" s="258"/>
      <c r="K551" s="266"/>
      <c r="L551" s="270"/>
      <c r="N551" s="251"/>
      <c r="O551" s="251"/>
      <c r="Q551" s="150"/>
      <c r="R551" s="150"/>
      <c r="S551" s="150"/>
      <c r="T551" s="150"/>
      <c r="U551" s="150"/>
      <c r="V551" s="150"/>
      <c r="W551" s="150"/>
      <c r="X551" s="150"/>
      <c r="Y551" s="150"/>
    </row>
    <row r="552" spans="2:25" ht="14.5" x14ac:dyDescent="0.35">
      <c r="B552" s="203">
        <f t="shared" si="25"/>
        <v>540</v>
      </c>
      <c r="C552" s="204">
        <f t="shared" si="22"/>
        <v>0</v>
      </c>
      <c r="D552" s="204" t="str">
        <f t="shared" si="23"/>
        <v/>
      </c>
      <c r="E552" s="203" t="str">
        <f t="shared" si="24"/>
        <v/>
      </c>
      <c r="F552" s="269"/>
      <c r="G552" s="206"/>
      <c r="H552" s="270"/>
      <c r="I552" s="271"/>
      <c r="J552" s="258"/>
      <c r="K552" s="266"/>
      <c r="L552" s="270"/>
      <c r="N552" s="251"/>
      <c r="O552" s="251"/>
      <c r="Q552" s="150"/>
      <c r="R552" s="150"/>
      <c r="S552" s="150"/>
      <c r="T552" s="150"/>
      <c r="U552" s="150"/>
      <c r="V552" s="150"/>
      <c r="W552" s="150"/>
      <c r="X552" s="150"/>
      <c r="Y552" s="150"/>
    </row>
    <row r="553" spans="2:25" ht="14.5" x14ac:dyDescent="0.35">
      <c r="B553" s="203">
        <f t="shared" si="25"/>
        <v>541</v>
      </c>
      <c r="C553" s="204">
        <f t="shared" si="22"/>
        <v>0</v>
      </c>
      <c r="D553" s="204" t="str">
        <f t="shared" si="23"/>
        <v/>
      </c>
      <c r="E553" s="203" t="str">
        <f t="shared" si="24"/>
        <v/>
      </c>
      <c r="F553" s="269"/>
      <c r="G553" s="206"/>
      <c r="H553" s="270"/>
      <c r="I553" s="271"/>
      <c r="J553" s="258"/>
      <c r="K553" s="266"/>
      <c r="L553" s="270"/>
      <c r="N553" s="251"/>
      <c r="O553" s="251"/>
      <c r="Q553" s="150"/>
      <c r="R553" s="150"/>
      <c r="S553" s="150"/>
      <c r="T553" s="150"/>
      <c r="U553" s="150"/>
      <c r="V553" s="150"/>
      <c r="W553" s="150"/>
      <c r="X553" s="150"/>
      <c r="Y553" s="150"/>
    </row>
    <row r="554" spans="2:25" ht="14.5" x14ac:dyDescent="0.35">
      <c r="B554" s="203">
        <f t="shared" si="25"/>
        <v>542</v>
      </c>
      <c r="C554" s="204">
        <f t="shared" si="22"/>
        <v>0</v>
      </c>
      <c r="D554" s="204" t="str">
        <f t="shared" si="23"/>
        <v/>
      </c>
      <c r="E554" s="203" t="str">
        <f t="shared" si="24"/>
        <v/>
      </c>
      <c r="F554" s="269"/>
      <c r="G554" s="206"/>
      <c r="H554" s="270"/>
      <c r="I554" s="271"/>
      <c r="J554" s="258"/>
      <c r="K554" s="266"/>
      <c r="L554" s="270"/>
      <c r="N554" s="251"/>
      <c r="O554" s="251"/>
      <c r="Q554" s="150"/>
      <c r="R554" s="150"/>
      <c r="S554" s="150"/>
      <c r="T554" s="150"/>
      <c r="U554" s="150"/>
      <c r="V554" s="150"/>
      <c r="W554" s="150"/>
      <c r="X554" s="150"/>
      <c r="Y554" s="150"/>
    </row>
    <row r="555" spans="2:25" ht="14.5" x14ac:dyDescent="0.35">
      <c r="B555" s="203">
        <f t="shared" si="25"/>
        <v>543</v>
      </c>
      <c r="C555" s="204">
        <f t="shared" si="22"/>
        <v>0</v>
      </c>
      <c r="D555" s="204" t="str">
        <f t="shared" si="23"/>
        <v/>
      </c>
      <c r="E555" s="203" t="str">
        <f t="shared" si="24"/>
        <v/>
      </c>
      <c r="F555" s="269"/>
      <c r="G555" s="206"/>
      <c r="H555" s="270"/>
      <c r="I555" s="271"/>
      <c r="J555" s="258"/>
      <c r="K555" s="266"/>
      <c r="L555" s="270"/>
      <c r="N555" s="251"/>
      <c r="O555" s="251"/>
      <c r="Q555" s="150"/>
      <c r="R555" s="150"/>
      <c r="S555" s="150"/>
      <c r="T555" s="150"/>
      <c r="U555" s="150"/>
      <c r="V555" s="150"/>
      <c r="W555" s="150"/>
      <c r="X555" s="150"/>
      <c r="Y555" s="150"/>
    </row>
    <row r="556" spans="2:25" ht="14.5" x14ac:dyDescent="0.35">
      <c r="B556" s="203">
        <f t="shared" si="25"/>
        <v>544</v>
      </c>
      <c r="C556" s="204">
        <f t="shared" si="22"/>
        <v>0</v>
      </c>
      <c r="D556" s="204" t="str">
        <f t="shared" si="23"/>
        <v/>
      </c>
      <c r="E556" s="203" t="str">
        <f t="shared" si="24"/>
        <v/>
      </c>
      <c r="F556" s="269"/>
      <c r="G556" s="206"/>
      <c r="H556" s="270"/>
      <c r="I556" s="271"/>
      <c r="J556" s="258"/>
      <c r="K556" s="266"/>
      <c r="L556" s="270"/>
      <c r="N556" s="251"/>
      <c r="O556" s="251"/>
      <c r="Q556" s="150"/>
      <c r="R556" s="150"/>
      <c r="S556" s="150"/>
      <c r="T556" s="150"/>
      <c r="U556" s="150"/>
      <c r="V556" s="150"/>
      <c r="W556" s="150"/>
      <c r="X556" s="150"/>
      <c r="Y556" s="150"/>
    </row>
    <row r="557" spans="2:25" ht="14.5" x14ac:dyDescent="0.35">
      <c r="B557" s="203">
        <f t="shared" si="25"/>
        <v>545</v>
      </c>
      <c r="C557" s="204">
        <f t="shared" si="22"/>
        <v>0</v>
      </c>
      <c r="D557" s="204" t="str">
        <f t="shared" si="23"/>
        <v/>
      </c>
      <c r="E557" s="203" t="str">
        <f t="shared" si="24"/>
        <v/>
      </c>
      <c r="F557" s="269"/>
      <c r="G557" s="206"/>
      <c r="H557" s="270"/>
      <c r="I557" s="271"/>
      <c r="J557" s="258"/>
      <c r="K557" s="266"/>
      <c r="L557" s="270"/>
      <c r="N557" s="251"/>
      <c r="O557" s="251"/>
      <c r="Q557" s="150"/>
      <c r="R557" s="150"/>
      <c r="S557" s="150"/>
      <c r="T557" s="150"/>
      <c r="U557" s="150"/>
      <c r="V557" s="150"/>
      <c r="W557" s="150"/>
      <c r="X557" s="150"/>
      <c r="Y557" s="150"/>
    </row>
    <row r="558" spans="2:25" ht="14.5" x14ac:dyDescent="0.35">
      <c r="B558" s="203">
        <f t="shared" si="25"/>
        <v>546</v>
      </c>
      <c r="C558" s="204">
        <f t="shared" si="22"/>
        <v>0</v>
      </c>
      <c r="D558" s="204" t="str">
        <f t="shared" si="23"/>
        <v/>
      </c>
      <c r="E558" s="203" t="str">
        <f t="shared" si="24"/>
        <v/>
      </c>
      <c r="F558" s="269"/>
      <c r="G558" s="206"/>
      <c r="H558" s="270"/>
      <c r="I558" s="271"/>
      <c r="J558" s="258"/>
      <c r="K558" s="266"/>
      <c r="L558" s="270"/>
      <c r="N558" s="251"/>
      <c r="O558" s="251"/>
      <c r="Q558" s="150"/>
      <c r="R558" s="150"/>
      <c r="S558" s="150"/>
      <c r="T558" s="150"/>
      <c r="U558" s="150"/>
      <c r="V558" s="150"/>
      <c r="W558" s="150"/>
      <c r="X558" s="150"/>
      <c r="Y558" s="150"/>
    </row>
    <row r="559" spans="2:25" ht="14.5" x14ac:dyDescent="0.35">
      <c r="B559" s="203">
        <f t="shared" si="25"/>
        <v>547</v>
      </c>
      <c r="C559" s="204">
        <f t="shared" si="22"/>
        <v>0</v>
      </c>
      <c r="D559" s="204" t="str">
        <f t="shared" si="23"/>
        <v/>
      </c>
      <c r="E559" s="203" t="str">
        <f t="shared" si="24"/>
        <v/>
      </c>
      <c r="F559" s="269"/>
      <c r="G559" s="206"/>
      <c r="H559" s="270"/>
      <c r="I559" s="271"/>
      <c r="J559" s="258"/>
      <c r="K559" s="266"/>
      <c r="L559" s="270"/>
      <c r="N559" s="251"/>
      <c r="O559" s="251"/>
      <c r="Q559" s="150"/>
      <c r="R559" s="150"/>
      <c r="S559" s="150"/>
      <c r="T559" s="150"/>
      <c r="U559" s="150"/>
      <c r="V559" s="150"/>
      <c r="W559" s="150"/>
      <c r="X559" s="150"/>
      <c r="Y559" s="150"/>
    </row>
    <row r="560" spans="2:25" ht="14.5" x14ac:dyDescent="0.35">
      <c r="B560" s="203">
        <f t="shared" si="25"/>
        <v>548</v>
      </c>
      <c r="C560" s="204">
        <f t="shared" si="22"/>
        <v>0</v>
      </c>
      <c r="D560" s="204" t="str">
        <f t="shared" si="23"/>
        <v/>
      </c>
      <c r="E560" s="203" t="str">
        <f t="shared" si="24"/>
        <v/>
      </c>
      <c r="F560" s="269"/>
      <c r="G560" s="206"/>
      <c r="H560" s="270"/>
      <c r="I560" s="271"/>
      <c r="J560" s="258"/>
      <c r="K560" s="266"/>
      <c r="L560" s="272"/>
      <c r="N560" s="251"/>
      <c r="O560" s="251"/>
      <c r="Q560" s="150"/>
      <c r="R560" s="150"/>
      <c r="S560" s="150"/>
      <c r="T560" s="150"/>
      <c r="U560" s="150"/>
      <c r="V560" s="150"/>
      <c r="W560" s="150"/>
      <c r="X560" s="150"/>
      <c r="Y560" s="150"/>
    </row>
    <row r="561" spans="2:25" ht="14.5" x14ac:dyDescent="0.35">
      <c r="B561" s="203">
        <f t="shared" si="25"/>
        <v>549</v>
      </c>
      <c r="C561" s="204">
        <f t="shared" si="22"/>
        <v>0</v>
      </c>
      <c r="D561" s="204" t="str">
        <f t="shared" si="23"/>
        <v/>
      </c>
      <c r="E561" s="203" t="str">
        <f t="shared" si="24"/>
        <v/>
      </c>
      <c r="F561" s="269"/>
      <c r="G561" s="206"/>
      <c r="H561" s="270"/>
      <c r="I561" s="271"/>
      <c r="J561" s="258"/>
      <c r="K561" s="266"/>
      <c r="L561" s="270"/>
      <c r="N561" s="251"/>
      <c r="O561" s="251"/>
      <c r="Q561" s="150"/>
      <c r="R561" s="150"/>
      <c r="S561" s="150"/>
      <c r="T561" s="150"/>
      <c r="U561" s="150"/>
      <c r="V561" s="150"/>
      <c r="W561" s="150"/>
      <c r="X561" s="150"/>
      <c r="Y561" s="150"/>
    </row>
    <row r="562" spans="2:25" ht="14.5" x14ac:dyDescent="0.35">
      <c r="B562" s="203">
        <f t="shared" si="25"/>
        <v>550</v>
      </c>
      <c r="C562" s="204">
        <f t="shared" si="22"/>
        <v>0</v>
      </c>
      <c r="D562" s="204" t="str">
        <f t="shared" si="23"/>
        <v/>
      </c>
      <c r="E562" s="203" t="str">
        <f t="shared" si="24"/>
        <v/>
      </c>
      <c r="F562" s="269"/>
      <c r="G562" s="206"/>
      <c r="H562" s="270"/>
      <c r="I562" s="271"/>
      <c r="J562" s="258"/>
      <c r="K562" s="266"/>
      <c r="L562" s="270"/>
      <c r="N562" s="251"/>
      <c r="O562" s="251"/>
      <c r="Q562" s="150"/>
      <c r="R562" s="150"/>
      <c r="S562" s="150"/>
      <c r="T562" s="150"/>
      <c r="U562" s="150"/>
      <c r="V562" s="150"/>
      <c r="W562" s="150"/>
      <c r="X562" s="150"/>
      <c r="Y562" s="150"/>
    </row>
    <row r="563" spans="2:25" ht="14.5" x14ac:dyDescent="0.35">
      <c r="B563" s="203">
        <f t="shared" si="25"/>
        <v>551</v>
      </c>
      <c r="C563" s="204">
        <f t="shared" si="22"/>
        <v>0</v>
      </c>
      <c r="D563" s="204" t="str">
        <f t="shared" si="23"/>
        <v/>
      </c>
      <c r="E563" s="203" t="str">
        <f t="shared" si="24"/>
        <v/>
      </c>
      <c r="F563" s="269"/>
      <c r="G563" s="206"/>
      <c r="H563" s="270"/>
      <c r="I563" s="271"/>
      <c r="J563" s="258"/>
      <c r="K563" s="266"/>
      <c r="L563" s="270"/>
      <c r="N563" s="251"/>
      <c r="O563" s="251"/>
      <c r="Q563" s="150"/>
      <c r="R563" s="150"/>
      <c r="S563" s="150"/>
      <c r="T563" s="150"/>
      <c r="U563" s="150"/>
      <c r="V563" s="150"/>
      <c r="W563" s="150"/>
      <c r="X563" s="150"/>
      <c r="Y563" s="150"/>
    </row>
    <row r="564" spans="2:25" ht="14.5" x14ac:dyDescent="0.35">
      <c r="B564" s="203">
        <f t="shared" si="25"/>
        <v>552</v>
      </c>
      <c r="C564" s="204">
        <f t="shared" si="22"/>
        <v>0</v>
      </c>
      <c r="D564" s="204" t="str">
        <f t="shared" si="23"/>
        <v/>
      </c>
      <c r="E564" s="203" t="str">
        <f t="shared" si="24"/>
        <v/>
      </c>
      <c r="F564" s="269"/>
      <c r="G564" s="206"/>
      <c r="H564" s="270"/>
      <c r="I564" s="271"/>
      <c r="J564" s="258"/>
      <c r="K564" s="266"/>
      <c r="L564" s="270"/>
      <c r="N564" s="251"/>
      <c r="O564" s="251"/>
      <c r="Q564" s="150"/>
      <c r="R564" s="150"/>
      <c r="S564" s="150"/>
      <c r="T564" s="150"/>
      <c r="U564" s="150"/>
      <c r="V564" s="150"/>
      <c r="W564" s="150"/>
      <c r="X564" s="150"/>
      <c r="Y564" s="150"/>
    </row>
    <row r="565" spans="2:25" ht="14.5" x14ac:dyDescent="0.35">
      <c r="B565" s="203">
        <f t="shared" si="25"/>
        <v>553</v>
      </c>
      <c r="C565" s="204">
        <f t="shared" si="22"/>
        <v>0</v>
      </c>
      <c r="D565" s="204" t="str">
        <f t="shared" si="23"/>
        <v/>
      </c>
      <c r="E565" s="203" t="str">
        <f t="shared" si="24"/>
        <v/>
      </c>
      <c r="F565" s="269"/>
      <c r="G565" s="206"/>
      <c r="H565" s="270"/>
      <c r="I565" s="271"/>
      <c r="J565" s="258"/>
      <c r="K565" s="266"/>
      <c r="L565" s="270"/>
      <c r="N565" s="251"/>
      <c r="O565" s="251"/>
      <c r="Q565" s="150"/>
      <c r="R565" s="150"/>
      <c r="S565" s="150"/>
      <c r="T565" s="150"/>
      <c r="U565" s="150"/>
      <c r="V565" s="150"/>
      <c r="W565" s="150"/>
      <c r="X565" s="150"/>
      <c r="Y565" s="150"/>
    </row>
    <row r="566" spans="2:25" ht="14.5" x14ac:dyDescent="0.35">
      <c r="B566" s="203">
        <f t="shared" si="25"/>
        <v>554</v>
      </c>
      <c r="C566" s="204">
        <f t="shared" si="22"/>
        <v>0</v>
      </c>
      <c r="D566" s="204" t="str">
        <f t="shared" si="23"/>
        <v/>
      </c>
      <c r="E566" s="203" t="str">
        <f t="shared" si="24"/>
        <v/>
      </c>
      <c r="F566" s="269"/>
      <c r="G566" s="206"/>
      <c r="H566" s="270"/>
      <c r="I566" s="151"/>
      <c r="J566" s="271"/>
      <c r="K566" s="266"/>
      <c r="L566" s="62"/>
      <c r="N566" s="251"/>
      <c r="O566" s="251"/>
      <c r="Q566" s="150"/>
      <c r="R566" s="150"/>
      <c r="S566" s="150"/>
      <c r="T566" s="150"/>
      <c r="U566" s="150"/>
      <c r="V566" s="150"/>
      <c r="W566" s="150"/>
      <c r="X566" s="150"/>
      <c r="Y566" s="150"/>
    </row>
    <row r="567" spans="2:25" ht="14.5" x14ac:dyDescent="0.35">
      <c r="B567" s="203">
        <f t="shared" si="25"/>
        <v>555</v>
      </c>
      <c r="C567" s="204">
        <f t="shared" si="22"/>
        <v>0</v>
      </c>
      <c r="D567" s="204" t="str">
        <f t="shared" si="23"/>
        <v/>
      </c>
      <c r="E567" s="203" t="str">
        <f t="shared" si="24"/>
        <v/>
      </c>
      <c r="F567" s="269"/>
      <c r="G567" s="206"/>
      <c r="H567" s="270"/>
      <c r="I567" s="271"/>
      <c r="J567" s="258"/>
      <c r="K567" s="266"/>
      <c r="L567" s="270"/>
      <c r="N567" s="251"/>
      <c r="O567" s="251"/>
      <c r="Q567" s="150"/>
      <c r="R567" s="150"/>
      <c r="S567" s="150"/>
      <c r="T567" s="150"/>
      <c r="U567" s="150"/>
      <c r="V567" s="150"/>
      <c r="W567" s="150"/>
      <c r="X567" s="150"/>
      <c r="Y567" s="150"/>
    </row>
    <row r="568" spans="2:25" ht="14.5" x14ac:dyDescent="0.35">
      <c r="B568" s="203">
        <f t="shared" si="25"/>
        <v>556</v>
      </c>
      <c r="C568" s="204">
        <f t="shared" si="22"/>
        <v>0</v>
      </c>
      <c r="D568" s="204" t="str">
        <f t="shared" si="23"/>
        <v/>
      </c>
      <c r="E568" s="203" t="str">
        <f t="shared" si="24"/>
        <v/>
      </c>
      <c r="F568" s="269"/>
      <c r="G568" s="206"/>
      <c r="H568" s="270"/>
      <c r="I568" s="271"/>
      <c r="J568" s="258"/>
      <c r="K568" s="266"/>
      <c r="L568" s="270"/>
      <c r="N568" s="251"/>
      <c r="O568" s="251"/>
      <c r="Q568" s="150"/>
      <c r="R568" s="150"/>
      <c r="S568" s="150"/>
      <c r="T568" s="150"/>
      <c r="U568" s="150"/>
      <c r="V568" s="150"/>
      <c r="W568" s="150"/>
      <c r="X568" s="150"/>
      <c r="Y568" s="150"/>
    </row>
    <row r="569" spans="2:25" ht="14.5" x14ac:dyDescent="0.35">
      <c r="B569" s="203">
        <f t="shared" si="25"/>
        <v>557</v>
      </c>
      <c r="C569" s="204">
        <f t="shared" si="22"/>
        <v>0</v>
      </c>
      <c r="D569" s="204" t="str">
        <f t="shared" si="23"/>
        <v/>
      </c>
      <c r="E569" s="203" t="str">
        <f t="shared" si="24"/>
        <v/>
      </c>
      <c r="F569" s="269"/>
      <c r="G569" s="206"/>
      <c r="H569" s="270"/>
      <c r="I569" s="151"/>
      <c r="J569" s="271"/>
      <c r="K569" s="266"/>
      <c r="L569" s="62"/>
      <c r="N569" s="251"/>
      <c r="O569" s="251"/>
      <c r="Q569" s="150"/>
      <c r="R569" s="150"/>
      <c r="S569" s="150"/>
      <c r="T569" s="150"/>
      <c r="U569" s="150"/>
      <c r="V569" s="150"/>
      <c r="W569" s="150"/>
      <c r="X569" s="150"/>
      <c r="Y569" s="150"/>
    </row>
    <row r="570" spans="2:25" ht="14.5" x14ac:dyDescent="0.35">
      <c r="B570" s="203">
        <f t="shared" si="25"/>
        <v>558</v>
      </c>
      <c r="C570" s="204">
        <f t="shared" si="22"/>
        <v>0</v>
      </c>
      <c r="D570" s="204" t="str">
        <f t="shared" si="23"/>
        <v/>
      </c>
      <c r="E570" s="203" t="str">
        <f t="shared" si="24"/>
        <v/>
      </c>
      <c r="F570" s="269"/>
      <c r="G570" s="206"/>
      <c r="H570" s="270"/>
      <c r="I570" s="271"/>
      <c r="J570" s="258"/>
      <c r="K570" s="266"/>
      <c r="L570" s="270"/>
      <c r="N570" s="251"/>
      <c r="O570" s="251"/>
      <c r="Q570" s="150"/>
      <c r="R570" s="150"/>
      <c r="S570" s="150"/>
      <c r="T570" s="150"/>
      <c r="U570" s="150"/>
      <c r="V570" s="150"/>
      <c r="W570" s="150"/>
      <c r="X570" s="150"/>
      <c r="Y570" s="150"/>
    </row>
    <row r="571" spans="2:25" ht="14.5" x14ac:dyDescent="0.35">
      <c r="B571" s="203">
        <f t="shared" si="25"/>
        <v>559</v>
      </c>
      <c r="C571" s="204">
        <f t="shared" si="22"/>
        <v>0</v>
      </c>
      <c r="D571" s="204" t="str">
        <f t="shared" si="23"/>
        <v/>
      </c>
      <c r="E571" s="203" t="str">
        <f t="shared" si="24"/>
        <v/>
      </c>
      <c r="F571" s="269"/>
      <c r="G571" s="206"/>
      <c r="H571" s="270"/>
      <c r="I571" s="271"/>
      <c r="J571" s="258"/>
      <c r="K571" s="266"/>
      <c r="L571" s="270"/>
      <c r="N571" s="251"/>
      <c r="O571" s="251"/>
      <c r="Q571" s="150"/>
      <c r="R571" s="150"/>
      <c r="S571" s="150"/>
      <c r="T571" s="150"/>
      <c r="U571" s="150"/>
      <c r="V571" s="150"/>
      <c r="W571" s="150"/>
      <c r="X571" s="150"/>
      <c r="Y571" s="150"/>
    </row>
    <row r="572" spans="2:25" ht="14.5" x14ac:dyDescent="0.35">
      <c r="B572" s="203">
        <f t="shared" si="25"/>
        <v>560</v>
      </c>
      <c r="C572" s="204">
        <f t="shared" si="22"/>
        <v>0</v>
      </c>
      <c r="D572" s="204" t="str">
        <f t="shared" si="23"/>
        <v/>
      </c>
      <c r="E572" s="203" t="str">
        <f t="shared" si="24"/>
        <v/>
      </c>
      <c r="F572" s="269"/>
      <c r="G572" s="206"/>
      <c r="H572" s="270"/>
      <c r="I572" s="271"/>
      <c r="J572" s="258"/>
      <c r="K572" s="266"/>
      <c r="L572" s="272"/>
      <c r="N572" s="251"/>
      <c r="O572" s="251"/>
      <c r="Q572" s="150"/>
      <c r="R572" s="150"/>
      <c r="S572" s="150"/>
      <c r="T572" s="150"/>
      <c r="U572" s="150"/>
      <c r="V572" s="150"/>
      <c r="W572" s="150"/>
      <c r="X572" s="150"/>
      <c r="Y572" s="150"/>
    </row>
    <row r="573" spans="2:25" ht="14.5" x14ac:dyDescent="0.35">
      <c r="B573" s="203">
        <f t="shared" si="25"/>
        <v>561</v>
      </c>
      <c r="C573" s="204">
        <f t="shared" si="22"/>
        <v>0</v>
      </c>
      <c r="D573" s="204" t="str">
        <f t="shared" si="23"/>
        <v/>
      </c>
      <c r="E573" s="203" t="str">
        <f t="shared" si="24"/>
        <v/>
      </c>
      <c r="F573" s="269"/>
      <c r="G573" s="206"/>
      <c r="H573" s="270"/>
      <c r="I573" s="271"/>
      <c r="J573" s="258"/>
      <c r="K573" s="266"/>
      <c r="L573" s="270"/>
      <c r="N573" s="251"/>
      <c r="O573" s="251"/>
      <c r="Q573" s="150"/>
      <c r="R573" s="150"/>
      <c r="S573" s="150"/>
      <c r="T573" s="150"/>
      <c r="U573" s="150"/>
      <c r="V573" s="150"/>
      <c r="W573" s="150"/>
      <c r="X573" s="150"/>
      <c r="Y573" s="150"/>
    </row>
    <row r="574" spans="2:25" ht="14.5" x14ac:dyDescent="0.35">
      <c r="B574" s="203">
        <f t="shared" si="25"/>
        <v>562</v>
      </c>
      <c r="C574" s="204">
        <f t="shared" si="22"/>
        <v>0</v>
      </c>
      <c r="D574" s="204" t="str">
        <f t="shared" si="23"/>
        <v/>
      </c>
      <c r="E574" s="203" t="str">
        <f t="shared" si="24"/>
        <v/>
      </c>
      <c r="F574" s="269"/>
      <c r="G574" s="206"/>
      <c r="H574" s="270"/>
      <c r="I574" s="271"/>
      <c r="J574" s="258"/>
      <c r="K574" s="266"/>
      <c r="L574" s="270"/>
      <c r="N574" s="251"/>
      <c r="O574" s="251"/>
      <c r="Q574" s="150"/>
      <c r="R574" s="150"/>
      <c r="S574" s="150"/>
      <c r="T574" s="150"/>
      <c r="U574" s="150"/>
      <c r="V574" s="150"/>
      <c r="W574" s="150"/>
      <c r="X574" s="150"/>
      <c r="Y574" s="150"/>
    </row>
    <row r="575" spans="2:25" ht="14.5" x14ac:dyDescent="0.35">
      <c r="B575" s="203">
        <f t="shared" si="25"/>
        <v>563</v>
      </c>
      <c r="C575" s="204">
        <f t="shared" si="22"/>
        <v>0</v>
      </c>
      <c r="D575" s="204" t="str">
        <f t="shared" si="23"/>
        <v/>
      </c>
      <c r="E575" s="203" t="str">
        <f t="shared" si="24"/>
        <v/>
      </c>
      <c r="F575" s="269"/>
      <c r="G575" s="206"/>
      <c r="H575" s="270"/>
      <c r="I575" s="271"/>
      <c r="J575" s="258"/>
      <c r="K575" s="266"/>
      <c r="L575" s="270"/>
      <c r="N575" s="251"/>
      <c r="O575" s="251"/>
      <c r="Q575" s="150"/>
      <c r="R575" s="150"/>
      <c r="S575" s="150"/>
      <c r="T575" s="150"/>
      <c r="U575" s="150"/>
      <c r="V575" s="150"/>
      <c r="W575" s="150"/>
      <c r="X575" s="150"/>
      <c r="Y575" s="150"/>
    </row>
    <row r="576" spans="2:25" ht="14.5" x14ac:dyDescent="0.35">
      <c r="B576" s="203">
        <f t="shared" si="25"/>
        <v>564</v>
      </c>
      <c r="C576" s="204">
        <f t="shared" si="22"/>
        <v>0</v>
      </c>
      <c r="D576" s="204" t="str">
        <f t="shared" si="23"/>
        <v/>
      </c>
      <c r="E576" s="203" t="str">
        <f t="shared" si="24"/>
        <v/>
      </c>
      <c r="F576" s="269"/>
      <c r="G576" s="206"/>
      <c r="H576" s="270"/>
      <c r="I576" s="271"/>
      <c r="J576" s="258"/>
      <c r="K576" s="266"/>
      <c r="L576" s="272"/>
      <c r="N576" s="251"/>
      <c r="O576" s="251"/>
      <c r="Q576" s="150"/>
      <c r="R576" s="150"/>
      <c r="S576" s="150"/>
      <c r="T576" s="150"/>
      <c r="U576" s="150"/>
      <c r="V576" s="150"/>
      <c r="W576" s="150"/>
      <c r="X576" s="150"/>
      <c r="Y576" s="150"/>
    </row>
    <row r="577" spans="2:25" ht="14.5" x14ac:dyDescent="0.35">
      <c r="B577" s="203">
        <f t="shared" si="25"/>
        <v>565</v>
      </c>
      <c r="C577" s="204">
        <f t="shared" si="22"/>
        <v>0</v>
      </c>
      <c r="D577" s="204" t="str">
        <f t="shared" si="23"/>
        <v/>
      </c>
      <c r="E577" s="203" t="str">
        <f t="shared" si="24"/>
        <v/>
      </c>
      <c r="F577" s="269"/>
      <c r="G577" s="206"/>
      <c r="H577" s="270"/>
      <c r="I577" s="271"/>
      <c r="J577" s="258"/>
      <c r="K577" s="266"/>
      <c r="L577" s="270"/>
      <c r="N577" s="251"/>
      <c r="O577" s="251"/>
      <c r="Q577" s="150"/>
      <c r="R577" s="150"/>
      <c r="S577" s="150"/>
      <c r="T577" s="150"/>
      <c r="U577" s="150"/>
      <c r="V577" s="150"/>
      <c r="W577" s="150"/>
      <c r="X577" s="150"/>
      <c r="Y577" s="150"/>
    </row>
    <row r="578" spans="2:25" ht="14.5" x14ac:dyDescent="0.35">
      <c r="B578" s="203">
        <f t="shared" si="25"/>
        <v>566</v>
      </c>
      <c r="C578" s="204">
        <f t="shared" si="22"/>
        <v>0</v>
      </c>
      <c r="D578" s="204" t="str">
        <f t="shared" si="23"/>
        <v/>
      </c>
      <c r="E578" s="203" t="str">
        <f t="shared" si="24"/>
        <v/>
      </c>
      <c r="F578" s="269"/>
      <c r="G578" s="206"/>
      <c r="H578" s="270"/>
      <c r="I578" s="271"/>
      <c r="J578" s="258"/>
      <c r="K578" s="266"/>
      <c r="L578" s="270"/>
      <c r="N578" s="251"/>
      <c r="O578" s="251"/>
      <c r="Q578" s="150"/>
      <c r="R578" s="150"/>
      <c r="S578" s="150"/>
      <c r="T578" s="150"/>
      <c r="U578" s="150"/>
      <c r="V578" s="150"/>
      <c r="W578" s="150"/>
      <c r="X578" s="150"/>
      <c r="Y578" s="150"/>
    </row>
    <row r="579" spans="2:25" ht="14.5" x14ac:dyDescent="0.35">
      <c r="B579" s="203">
        <f t="shared" si="25"/>
        <v>567</v>
      </c>
      <c r="C579" s="204">
        <f t="shared" si="22"/>
        <v>0</v>
      </c>
      <c r="D579" s="204" t="str">
        <f t="shared" si="23"/>
        <v/>
      </c>
      <c r="E579" s="203" t="str">
        <f t="shared" si="24"/>
        <v/>
      </c>
      <c r="F579" s="269"/>
      <c r="G579" s="206"/>
      <c r="H579" s="270"/>
      <c r="I579" s="271"/>
      <c r="J579" s="258"/>
      <c r="K579" s="266"/>
      <c r="L579" s="270"/>
      <c r="N579" s="251"/>
      <c r="O579" s="251"/>
      <c r="Q579" s="150"/>
      <c r="R579" s="150"/>
      <c r="S579" s="150"/>
      <c r="T579" s="150"/>
      <c r="U579" s="150"/>
      <c r="V579" s="150"/>
      <c r="W579" s="150"/>
      <c r="X579" s="150"/>
      <c r="Y579" s="150"/>
    </row>
    <row r="580" spans="2:25" ht="14.5" x14ac:dyDescent="0.35">
      <c r="B580" s="203">
        <f t="shared" si="25"/>
        <v>568</v>
      </c>
      <c r="C580" s="204">
        <f t="shared" si="22"/>
        <v>0</v>
      </c>
      <c r="D580" s="204" t="str">
        <f t="shared" si="23"/>
        <v/>
      </c>
      <c r="E580" s="203" t="str">
        <f t="shared" si="24"/>
        <v/>
      </c>
      <c r="F580" s="269"/>
      <c r="G580" s="206"/>
      <c r="H580" s="270"/>
      <c r="I580" s="271"/>
      <c r="J580" s="258"/>
      <c r="K580" s="266"/>
      <c r="L580" s="270"/>
      <c r="N580" s="251"/>
      <c r="O580" s="251"/>
      <c r="Q580" s="150"/>
      <c r="R580" s="150"/>
      <c r="S580" s="150"/>
      <c r="T580" s="150"/>
      <c r="U580" s="150"/>
      <c r="V580" s="150"/>
      <c r="W580" s="150"/>
      <c r="X580" s="150"/>
      <c r="Y580" s="150"/>
    </row>
    <row r="581" spans="2:25" ht="14.5" x14ac:dyDescent="0.35">
      <c r="B581" s="203">
        <f t="shared" si="25"/>
        <v>569</v>
      </c>
      <c r="C581" s="204">
        <f t="shared" si="22"/>
        <v>0</v>
      </c>
      <c r="D581" s="204" t="str">
        <f t="shared" si="23"/>
        <v/>
      </c>
      <c r="E581" s="203" t="str">
        <f t="shared" si="24"/>
        <v/>
      </c>
      <c r="F581" s="269"/>
      <c r="G581" s="206"/>
      <c r="H581" s="270"/>
      <c r="I581" s="271"/>
      <c r="J581" s="273"/>
      <c r="K581" s="266"/>
      <c r="L581" s="270"/>
      <c r="M581" s="274"/>
      <c r="N581" s="251"/>
      <c r="O581" s="251"/>
      <c r="Q581" s="150"/>
      <c r="R581" s="150"/>
      <c r="S581" s="150"/>
      <c r="T581" s="150"/>
      <c r="U581" s="150"/>
      <c r="V581" s="150"/>
      <c r="W581" s="150"/>
      <c r="X581" s="150"/>
      <c r="Y581" s="150"/>
    </row>
    <row r="582" spans="2:25" ht="14.5" x14ac:dyDescent="0.35">
      <c r="B582" s="203">
        <f t="shared" si="25"/>
        <v>570</v>
      </c>
      <c r="C582" s="204">
        <f t="shared" si="22"/>
        <v>0</v>
      </c>
      <c r="D582" s="204" t="str">
        <f t="shared" si="23"/>
        <v/>
      </c>
      <c r="E582" s="203" t="str">
        <f t="shared" si="24"/>
        <v/>
      </c>
      <c r="F582" s="269"/>
      <c r="G582" s="206"/>
      <c r="H582" s="270"/>
      <c r="I582" s="271"/>
      <c r="J582" s="273"/>
      <c r="K582" s="266"/>
      <c r="L582" s="270"/>
      <c r="M582" s="274"/>
      <c r="N582" s="251"/>
      <c r="O582" s="251"/>
      <c r="Q582" s="150"/>
      <c r="R582" s="150"/>
      <c r="S582" s="150"/>
      <c r="T582" s="150"/>
      <c r="U582" s="150"/>
      <c r="V582" s="150"/>
      <c r="W582" s="150"/>
      <c r="X582" s="150"/>
      <c r="Y582" s="150"/>
    </row>
    <row r="583" spans="2:25" ht="14.5" x14ac:dyDescent="0.35">
      <c r="B583" s="203">
        <f t="shared" si="25"/>
        <v>571</v>
      </c>
      <c r="C583" s="204">
        <f t="shared" si="22"/>
        <v>0</v>
      </c>
      <c r="D583" s="204" t="str">
        <f t="shared" si="23"/>
        <v/>
      </c>
      <c r="E583" s="203" t="str">
        <f t="shared" si="24"/>
        <v/>
      </c>
      <c r="F583" s="269"/>
      <c r="G583" s="206"/>
      <c r="H583" s="270"/>
      <c r="I583" s="271"/>
      <c r="J583" s="273"/>
      <c r="K583" s="266"/>
      <c r="L583" s="270"/>
      <c r="M583" s="274"/>
      <c r="N583" s="251"/>
      <c r="O583" s="251"/>
      <c r="Q583" s="150"/>
      <c r="R583" s="150"/>
      <c r="S583" s="150"/>
      <c r="T583" s="150"/>
      <c r="U583" s="150"/>
      <c r="V583" s="150"/>
      <c r="W583" s="150"/>
      <c r="X583" s="150"/>
      <c r="Y583" s="150"/>
    </row>
    <row r="584" spans="2:25" ht="14.5" x14ac:dyDescent="0.35">
      <c r="B584" s="203">
        <f t="shared" si="25"/>
        <v>572</v>
      </c>
      <c r="C584" s="204">
        <f t="shared" si="22"/>
        <v>0</v>
      </c>
      <c r="D584" s="204" t="str">
        <f t="shared" si="23"/>
        <v/>
      </c>
      <c r="E584" s="203" t="str">
        <f t="shared" si="24"/>
        <v/>
      </c>
      <c r="F584" s="269"/>
      <c r="G584" s="206"/>
      <c r="H584" s="270"/>
      <c r="I584" s="271"/>
      <c r="J584" s="273"/>
      <c r="K584" s="266"/>
      <c r="L584" s="270"/>
      <c r="M584" s="274"/>
      <c r="N584" s="251"/>
      <c r="O584" s="251"/>
      <c r="Q584" s="150"/>
      <c r="R584" s="150"/>
      <c r="S584" s="150"/>
      <c r="T584" s="150"/>
      <c r="U584" s="150"/>
      <c r="V584" s="150"/>
      <c r="W584" s="150"/>
      <c r="X584" s="150"/>
      <c r="Y584" s="150"/>
    </row>
    <row r="585" spans="2:25" ht="14.5" x14ac:dyDescent="0.35">
      <c r="B585" s="203">
        <f t="shared" si="25"/>
        <v>573</v>
      </c>
      <c r="C585" s="204">
        <f t="shared" si="22"/>
        <v>0</v>
      </c>
      <c r="D585" s="204" t="str">
        <f t="shared" si="23"/>
        <v/>
      </c>
      <c r="E585" s="203" t="str">
        <f t="shared" si="24"/>
        <v/>
      </c>
      <c r="F585" s="269"/>
      <c r="G585" s="206"/>
      <c r="H585" s="270"/>
      <c r="I585" s="271"/>
      <c r="J585" s="273"/>
      <c r="K585" s="266"/>
      <c r="L585" s="270"/>
      <c r="M585" s="274"/>
      <c r="N585" s="251"/>
      <c r="O585" s="251"/>
      <c r="Q585" s="150"/>
      <c r="R585" s="150"/>
      <c r="S585" s="150"/>
      <c r="T585" s="150"/>
      <c r="U585" s="150"/>
      <c r="V585" s="150"/>
      <c r="W585" s="150"/>
      <c r="X585" s="150"/>
      <c r="Y585" s="150"/>
    </row>
    <row r="586" spans="2:25" ht="14.5" x14ac:dyDescent="0.35">
      <c r="B586" s="203">
        <f t="shared" si="25"/>
        <v>574</v>
      </c>
      <c r="C586" s="204">
        <f t="shared" si="22"/>
        <v>0</v>
      </c>
      <c r="D586" s="204" t="str">
        <f t="shared" si="23"/>
        <v/>
      </c>
      <c r="E586" s="203" t="str">
        <f t="shared" si="24"/>
        <v/>
      </c>
      <c r="F586" s="269"/>
      <c r="G586" s="206"/>
      <c r="H586" s="270"/>
      <c r="I586" s="271"/>
      <c r="J586" s="273"/>
      <c r="K586" s="266"/>
      <c r="L586" s="270"/>
      <c r="M586" s="274"/>
      <c r="N586" s="251"/>
      <c r="O586" s="251"/>
      <c r="Q586" s="150"/>
      <c r="R586" s="150"/>
      <c r="S586" s="150"/>
      <c r="T586" s="150"/>
      <c r="U586" s="150"/>
      <c r="V586" s="150"/>
      <c r="W586" s="150"/>
      <c r="X586" s="150"/>
      <c r="Y586" s="150"/>
    </row>
    <row r="587" spans="2:25" ht="14.5" x14ac:dyDescent="0.35">
      <c r="B587" s="203">
        <f t="shared" si="25"/>
        <v>575</v>
      </c>
      <c r="C587" s="204">
        <f t="shared" si="22"/>
        <v>0</v>
      </c>
      <c r="D587" s="204" t="str">
        <f t="shared" si="23"/>
        <v/>
      </c>
      <c r="E587" s="203" t="str">
        <f t="shared" si="24"/>
        <v/>
      </c>
      <c r="F587" s="269"/>
      <c r="G587" s="206"/>
      <c r="H587" s="270"/>
      <c r="I587" s="271"/>
      <c r="J587" s="273"/>
      <c r="K587" s="266"/>
      <c r="L587" s="270"/>
      <c r="M587" s="274"/>
      <c r="N587" s="251"/>
      <c r="O587" s="251"/>
      <c r="Q587" s="150"/>
      <c r="R587" s="150"/>
      <c r="S587" s="150"/>
      <c r="T587" s="150"/>
      <c r="U587" s="150"/>
      <c r="V587" s="150"/>
      <c r="W587" s="150"/>
      <c r="X587" s="150"/>
      <c r="Y587" s="150"/>
    </row>
    <row r="588" spans="2:25" ht="14.5" x14ac:dyDescent="0.35">
      <c r="B588" s="203">
        <f t="shared" si="25"/>
        <v>576</v>
      </c>
      <c r="C588" s="204">
        <f t="shared" si="22"/>
        <v>0</v>
      </c>
      <c r="D588" s="204" t="str">
        <f t="shared" si="23"/>
        <v/>
      </c>
      <c r="E588" s="203" t="str">
        <f t="shared" si="24"/>
        <v/>
      </c>
      <c r="F588" s="269"/>
      <c r="G588" s="206"/>
      <c r="H588" s="270"/>
      <c r="I588" s="271"/>
      <c r="J588" s="273"/>
      <c r="K588" s="266"/>
      <c r="L588" s="270"/>
      <c r="M588" s="274"/>
      <c r="N588" s="251"/>
      <c r="O588" s="251"/>
      <c r="Q588" s="150"/>
      <c r="R588" s="150"/>
      <c r="S588" s="150"/>
      <c r="T588" s="150"/>
      <c r="U588" s="150"/>
      <c r="V588" s="150"/>
      <c r="W588" s="150"/>
      <c r="X588" s="150"/>
      <c r="Y588" s="150"/>
    </row>
    <row r="589" spans="2:25" ht="14.5" x14ac:dyDescent="0.35">
      <c r="B589" s="203">
        <f t="shared" si="25"/>
        <v>577</v>
      </c>
      <c r="C589" s="204">
        <f t="shared" ref="C589:C652" si="26">IFERROR(DAY(F589),0)</f>
        <v>0</v>
      </c>
      <c r="D589" s="204" t="str">
        <f t="shared" ref="D589:D652" si="27">IFERROR(IF(F589="","",TEXT(DATE(0,MONTH(F589),1),"MMM")),"date issue")</f>
        <v/>
      </c>
      <c r="E589" s="203" t="str">
        <f t="shared" ref="E589:E652" si="28">IFERROR(IF(OR(C589=1,C589=2,C589=3,C589=4,C589=5,C589=6,C589=7),1,IF(OR(C589=8,C589=9,C589=10,C589=11,C589=12,C589=13,C589=14),2,IF(OR(C589=15,C589=16,C589=17,C589=18,C589=19,C589=20,C589=21),3,IF(OR(C589=22,C589=23,C589=24,C589=25,C589=26,C589=27,C589=28),4,IF(OR(C589=29,C589=30,C589=31),5,""))))),0)</f>
        <v/>
      </c>
      <c r="F589" s="269"/>
      <c r="G589" s="206"/>
      <c r="H589" s="270"/>
      <c r="I589" s="271"/>
      <c r="J589" s="273"/>
      <c r="K589" s="266"/>
      <c r="L589" s="270"/>
      <c r="M589" s="274"/>
      <c r="N589" s="251"/>
      <c r="O589" s="251"/>
      <c r="Q589" s="150"/>
      <c r="R589" s="150"/>
      <c r="S589" s="150"/>
      <c r="T589" s="150"/>
      <c r="U589" s="150"/>
      <c r="V589" s="150"/>
      <c r="W589" s="150"/>
      <c r="X589" s="150"/>
      <c r="Y589" s="150"/>
    </row>
    <row r="590" spans="2:25" ht="14.5" x14ac:dyDescent="0.35">
      <c r="B590" s="203">
        <f t="shared" si="25"/>
        <v>578</v>
      </c>
      <c r="C590" s="204">
        <f t="shared" si="26"/>
        <v>0</v>
      </c>
      <c r="D590" s="204" t="str">
        <f t="shared" si="27"/>
        <v/>
      </c>
      <c r="E590" s="203" t="str">
        <f t="shared" si="28"/>
        <v/>
      </c>
      <c r="F590" s="269"/>
      <c r="G590" s="206"/>
      <c r="H590" s="270"/>
      <c r="I590" s="271"/>
      <c r="J590" s="273"/>
      <c r="K590" s="266"/>
      <c r="L590" s="272"/>
      <c r="M590" s="274"/>
      <c r="N590" s="251"/>
      <c r="O590" s="251"/>
      <c r="Q590" s="150"/>
      <c r="R590" s="150"/>
      <c r="S590" s="150"/>
      <c r="T590" s="150"/>
      <c r="U590" s="150"/>
      <c r="V590" s="150"/>
      <c r="W590" s="150"/>
      <c r="X590" s="150"/>
      <c r="Y590" s="150"/>
    </row>
    <row r="591" spans="2:25" ht="14.5" x14ac:dyDescent="0.35">
      <c r="B591" s="203">
        <f t="shared" si="25"/>
        <v>579</v>
      </c>
      <c r="C591" s="204">
        <f t="shared" si="26"/>
        <v>0</v>
      </c>
      <c r="D591" s="204" t="str">
        <f t="shared" si="27"/>
        <v/>
      </c>
      <c r="E591" s="203" t="str">
        <f t="shared" si="28"/>
        <v/>
      </c>
      <c r="F591" s="269"/>
      <c r="G591" s="206"/>
      <c r="H591" s="270"/>
      <c r="I591" s="271"/>
      <c r="J591" s="273"/>
      <c r="K591" s="266"/>
      <c r="L591" s="270"/>
      <c r="M591" s="274"/>
      <c r="N591" s="251"/>
      <c r="O591" s="251"/>
      <c r="Q591" s="150"/>
      <c r="R591" s="150"/>
      <c r="S591" s="150"/>
      <c r="T591" s="150"/>
      <c r="U591" s="150"/>
      <c r="V591" s="150"/>
      <c r="W591" s="150"/>
      <c r="X591" s="150"/>
      <c r="Y591" s="150"/>
    </row>
    <row r="592" spans="2:25" ht="14.5" x14ac:dyDescent="0.35">
      <c r="B592" s="203">
        <f t="shared" si="25"/>
        <v>580</v>
      </c>
      <c r="C592" s="204">
        <f t="shared" si="26"/>
        <v>0</v>
      </c>
      <c r="D592" s="204" t="str">
        <f t="shared" si="27"/>
        <v/>
      </c>
      <c r="E592" s="203" t="str">
        <f t="shared" si="28"/>
        <v/>
      </c>
      <c r="F592" s="269"/>
      <c r="G592" s="206"/>
      <c r="H592" s="270"/>
      <c r="I592" s="271"/>
      <c r="J592" s="273"/>
      <c r="K592" s="266"/>
      <c r="L592" s="270"/>
      <c r="M592" s="274"/>
      <c r="N592" s="251"/>
      <c r="O592" s="251"/>
      <c r="Q592" s="150"/>
      <c r="R592" s="150"/>
      <c r="S592" s="150"/>
      <c r="T592" s="150"/>
      <c r="U592" s="150"/>
      <c r="V592" s="150"/>
      <c r="W592" s="150"/>
      <c r="X592" s="150"/>
      <c r="Y592" s="150"/>
    </row>
    <row r="593" spans="2:25" ht="14.5" x14ac:dyDescent="0.35">
      <c r="B593" s="203">
        <f t="shared" si="25"/>
        <v>581</v>
      </c>
      <c r="C593" s="204">
        <f t="shared" si="26"/>
        <v>0</v>
      </c>
      <c r="D593" s="204" t="str">
        <f t="shared" si="27"/>
        <v/>
      </c>
      <c r="E593" s="203" t="str">
        <f t="shared" si="28"/>
        <v/>
      </c>
      <c r="F593" s="269"/>
      <c r="G593" s="206"/>
      <c r="H593" s="270"/>
      <c r="I593" s="271"/>
      <c r="J593" s="273"/>
      <c r="K593" s="266"/>
      <c r="L593" s="270"/>
      <c r="M593" s="274"/>
      <c r="N593" s="251"/>
      <c r="O593" s="251"/>
      <c r="Q593" s="150"/>
      <c r="R593" s="150"/>
      <c r="S593" s="150"/>
      <c r="T593" s="150"/>
      <c r="U593" s="150"/>
      <c r="V593" s="150"/>
      <c r="W593" s="150"/>
      <c r="X593" s="150"/>
      <c r="Y593" s="150"/>
    </row>
    <row r="594" spans="2:25" ht="14.5" x14ac:dyDescent="0.35">
      <c r="B594" s="203">
        <f t="shared" si="25"/>
        <v>582</v>
      </c>
      <c r="C594" s="204">
        <f t="shared" si="26"/>
        <v>0</v>
      </c>
      <c r="D594" s="204" t="str">
        <f t="shared" si="27"/>
        <v/>
      </c>
      <c r="E594" s="203" t="str">
        <f t="shared" si="28"/>
        <v/>
      </c>
      <c r="F594" s="269"/>
      <c r="G594" s="206"/>
      <c r="H594" s="270"/>
      <c r="I594" s="271"/>
      <c r="J594" s="273"/>
      <c r="K594" s="266"/>
      <c r="L594" s="270"/>
      <c r="M594" s="274"/>
      <c r="N594" s="251"/>
      <c r="O594" s="251"/>
      <c r="Q594" s="150"/>
      <c r="R594" s="150"/>
      <c r="S594" s="150"/>
      <c r="T594" s="150"/>
      <c r="U594" s="150"/>
      <c r="V594" s="150"/>
      <c r="W594" s="150"/>
      <c r="X594" s="150"/>
      <c r="Y594" s="150"/>
    </row>
    <row r="595" spans="2:25" ht="14.5" x14ac:dyDescent="0.35">
      <c r="B595" s="203">
        <f t="shared" si="25"/>
        <v>583</v>
      </c>
      <c r="C595" s="204">
        <f t="shared" si="26"/>
        <v>0</v>
      </c>
      <c r="D595" s="204" t="str">
        <f t="shared" si="27"/>
        <v/>
      </c>
      <c r="E595" s="203" t="str">
        <f t="shared" si="28"/>
        <v/>
      </c>
      <c r="F595" s="269"/>
      <c r="G595" s="206"/>
      <c r="H595" s="270"/>
      <c r="I595" s="151"/>
      <c r="J595" s="271"/>
      <c r="K595" s="266"/>
      <c r="L595" s="62"/>
      <c r="M595" s="274"/>
      <c r="N595" s="251"/>
      <c r="O595" s="251"/>
      <c r="Q595" s="150"/>
      <c r="R595" s="150"/>
      <c r="S595" s="150"/>
      <c r="T595" s="150"/>
      <c r="U595" s="150"/>
      <c r="V595" s="150"/>
      <c r="W595" s="150"/>
      <c r="X595" s="150"/>
      <c r="Y595" s="150"/>
    </row>
    <row r="596" spans="2:25" ht="14.5" x14ac:dyDescent="0.35">
      <c r="B596" s="203">
        <f t="shared" si="25"/>
        <v>584</v>
      </c>
      <c r="C596" s="204">
        <f t="shared" si="26"/>
        <v>0</v>
      </c>
      <c r="D596" s="204" t="str">
        <f t="shared" si="27"/>
        <v/>
      </c>
      <c r="E596" s="203" t="str">
        <f t="shared" si="28"/>
        <v/>
      </c>
      <c r="F596" s="269"/>
      <c r="G596" s="206"/>
      <c r="H596" s="270"/>
      <c r="I596" s="271"/>
      <c r="J596" s="273"/>
      <c r="K596" s="266"/>
      <c r="L596" s="270"/>
      <c r="M596" s="274"/>
      <c r="N596" s="251"/>
      <c r="O596" s="251"/>
      <c r="Q596" s="150"/>
      <c r="R596" s="150"/>
      <c r="S596" s="150"/>
      <c r="T596" s="150"/>
      <c r="U596" s="150"/>
      <c r="V596" s="150"/>
      <c r="W596" s="150"/>
      <c r="X596" s="150"/>
      <c r="Y596" s="150"/>
    </row>
    <row r="597" spans="2:25" ht="14.5" x14ac:dyDescent="0.35">
      <c r="B597" s="203">
        <f t="shared" si="25"/>
        <v>585</v>
      </c>
      <c r="C597" s="204">
        <f t="shared" si="26"/>
        <v>0</v>
      </c>
      <c r="D597" s="204" t="str">
        <f t="shared" si="27"/>
        <v/>
      </c>
      <c r="E597" s="203" t="str">
        <f t="shared" si="28"/>
        <v/>
      </c>
      <c r="F597" s="269"/>
      <c r="G597" s="206"/>
      <c r="H597" s="270"/>
      <c r="I597" s="271"/>
      <c r="J597" s="273"/>
      <c r="K597" s="266"/>
      <c r="L597" s="270"/>
      <c r="M597" s="274"/>
      <c r="N597" s="251"/>
      <c r="O597" s="251"/>
      <c r="Q597" s="150"/>
      <c r="R597" s="150"/>
      <c r="S597" s="150"/>
      <c r="T597" s="150"/>
      <c r="U597" s="150"/>
      <c r="V597" s="150"/>
      <c r="W597" s="150"/>
      <c r="X597" s="150"/>
      <c r="Y597" s="150"/>
    </row>
    <row r="598" spans="2:25" ht="14.5" x14ac:dyDescent="0.35">
      <c r="B598" s="203">
        <f t="shared" si="25"/>
        <v>586</v>
      </c>
      <c r="C598" s="204">
        <f t="shared" si="26"/>
        <v>0</v>
      </c>
      <c r="D598" s="204" t="str">
        <f t="shared" si="27"/>
        <v/>
      </c>
      <c r="E598" s="203" t="str">
        <f t="shared" si="28"/>
        <v/>
      </c>
      <c r="F598" s="269"/>
      <c r="G598" s="206"/>
      <c r="H598" s="270"/>
      <c r="I598" s="271"/>
      <c r="J598" s="273"/>
      <c r="K598" s="266"/>
      <c r="L598" s="270"/>
      <c r="M598" s="274"/>
      <c r="N598" s="251"/>
      <c r="O598" s="251"/>
      <c r="Q598" s="150"/>
      <c r="R598" s="150"/>
      <c r="S598" s="150"/>
      <c r="T598" s="150"/>
      <c r="U598" s="150"/>
      <c r="V598" s="150"/>
      <c r="W598" s="150"/>
      <c r="X598" s="150"/>
      <c r="Y598" s="150"/>
    </row>
    <row r="599" spans="2:25" ht="14.5" x14ac:dyDescent="0.35">
      <c r="B599" s="203">
        <f t="shared" ref="B599:B662" si="29">B598+1</f>
        <v>587</v>
      </c>
      <c r="C599" s="204">
        <f t="shared" si="26"/>
        <v>0</v>
      </c>
      <c r="D599" s="204" t="str">
        <f t="shared" si="27"/>
        <v/>
      </c>
      <c r="E599" s="203" t="str">
        <f t="shared" si="28"/>
        <v/>
      </c>
      <c r="F599" s="269"/>
      <c r="G599" s="206"/>
      <c r="H599" s="270"/>
      <c r="I599" s="271"/>
      <c r="J599" s="273"/>
      <c r="K599" s="266"/>
      <c r="L599" s="270"/>
      <c r="M599" s="274"/>
      <c r="N599" s="251"/>
      <c r="O599" s="251"/>
      <c r="Q599" s="150"/>
      <c r="R599" s="150"/>
      <c r="S599" s="150"/>
      <c r="T599" s="150"/>
      <c r="U599" s="150"/>
      <c r="V599" s="150"/>
      <c r="W599" s="150"/>
      <c r="X599" s="150"/>
      <c r="Y599" s="150"/>
    </row>
    <row r="600" spans="2:25" ht="14.5" x14ac:dyDescent="0.35">
      <c r="B600" s="203">
        <f t="shared" si="29"/>
        <v>588</v>
      </c>
      <c r="C600" s="204">
        <f t="shared" si="26"/>
        <v>0</v>
      </c>
      <c r="D600" s="204" t="str">
        <f t="shared" si="27"/>
        <v/>
      </c>
      <c r="E600" s="203" t="str">
        <f t="shared" si="28"/>
        <v/>
      </c>
      <c r="F600" s="269"/>
      <c r="G600" s="206"/>
      <c r="H600" s="270"/>
      <c r="I600" s="271"/>
      <c r="J600" s="273"/>
      <c r="K600" s="266"/>
      <c r="L600" s="272"/>
      <c r="M600" s="274"/>
      <c r="N600" s="251"/>
      <c r="O600" s="251"/>
      <c r="Q600" s="150"/>
      <c r="R600" s="150"/>
      <c r="S600" s="150"/>
      <c r="T600" s="150"/>
      <c r="U600" s="150"/>
      <c r="V600" s="150"/>
      <c r="W600" s="150"/>
      <c r="X600" s="150"/>
      <c r="Y600" s="150"/>
    </row>
    <row r="601" spans="2:25" ht="14.5" x14ac:dyDescent="0.35">
      <c r="B601" s="203">
        <f t="shared" si="29"/>
        <v>589</v>
      </c>
      <c r="C601" s="204">
        <f t="shared" si="26"/>
        <v>0</v>
      </c>
      <c r="D601" s="204" t="str">
        <f t="shared" si="27"/>
        <v/>
      </c>
      <c r="E601" s="203" t="str">
        <f t="shared" si="28"/>
        <v/>
      </c>
      <c r="F601" s="269"/>
      <c r="G601" s="206"/>
      <c r="H601" s="270"/>
      <c r="I601" s="271"/>
      <c r="J601" s="273"/>
      <c r="K601" s="266"/>
      <c r="L601" s="270"/>
      <c r="M601" s="274"/>
      <c r="N601" s="251"/>
      <c r="O601" s="251"/>
      <c r="Q601" s="150"/>
      <c r="R601" s="150"/>
      <c r="S601" s="150"/>
      <c r="T601" s="150"/>
      <c r="U601" s="150"/>
      <c r="V601" s="150"/>
      <c r="W601" s="150"/>
      <c r="X601" s="150"/>
      <c r="Y601" s="150"/>
    </row>
    <row r="602" spans="2:25" ht="14.5" x14ac:dyDescent="0.35">
      <c r="B602" s="203">
        <f t="shared" si="29"/>
        <v>590</v>
      </c>
      <c r="C602" s="204">
        <f t="shared" si="26"/>
        <v>0</v>
      </c>
      <c r="D602" s="204" t="str">
        <f t="shared" si="27"/>
        <v/>
      </c>
      <c r="E602" s="203" t="str">
        <f t="shared" si="28"/>
        <v/>
      </c>
      <c r="F602" s="269"/>
      <c r="G602" s="206"/>
      <c r="H602" s="270"/>
      <c r="I602" s="271"/>
      <c r="J602" s="273"/>
      <c r="K602" s="266"/>
      <c r="L602" s="270"/>
      <c r="M602" s="274"/>
      <c r="N602" s="251"/>
      <c r="O602" s="251"/>
      <c r="Q602" s="150"/>
      <c r="R602" s="150"/>
      <c r="S602" s="150"/>
      <c r="T602" s="150"/>
      <c r="U602" s="150"/>
      <c r="V602" s="150"/>
      <c r="W602" s="150"/>
      <c r="X602" s="150"/>
      <c r="Y602" s="150"/>
    </row>
    <row r="603" spans="2:25" ht="14.5" x14ac:dyDescent="0.35">
      <c r="B603" s="203">
        <f t="shared" si="29"/>
        <v>591</v>
      </c>
      <c r="C603" s="204">
        <f t="shared" si="26"/>
        <v>0</v>
      </c>
      <c r="D603" s="204" t="str">
        <f t="shared" si="27"/>
        <v/>
      </c>
      <c r="E603" s="203" t="str">
        <f t="shared" si="28"/>
        <v/>
      </c>
      <c r="F603" s="269"/>
      <c r="G603" s="206"/>
      <c r="H603" s="270"/>
      <c r="I603" s="271"/>
      <c r="J603" s="273"/>
      <c r="K603" s="266"/>
      <c r="L603" s="270"/>
      <c r="M603" s="274"/>
      <c r="N603" s="251"/>
      <c r="O603" s="251"/>
      <c r="Q603" s="150"/>
      <c r="R603" s="150"/>
      <c r="S603" s="150"/>
      <c r="T603" s="150"/>
      <c r="U603" s="150"/>
      <c r="V603" s="150"/>
      <c r="W603" s="150"/>
      <c r="X603" s="150"/>
      <c r="Y603" s="150"/>
    </row>
    <row r="604" spans="2:25" ht="14.5" x14ac:dyDescent="0.35">
      <c r="B604" s="203">
        <f t="shared" si="29"/>
        <v>592</v>
      </c>
      <c r="C604" s="204">
        <f t="shared" si="26"/>
        <v>0</v>
      </c>
      <c r="D604" s="204" t="str">
        <f t="shared" si="27"/>
        <v/>
      </c>
      <c r="E604" s="203" t="str">
        <f t="shared" si="28"/>
        <v/>
      </c>
      <c r="F604" s="269"/>
      <c r="G604" s="206"/>
      <c r="H604" s="270"/>
      <c r="I604" s="271"/>
      <c r="J604" s="273"/>
      <c r="K604" s="266"/>
      <c r="L604" s="270"/>
      <c r="M604" s="274"/>
      <c r="N604" s="251"/>
      <c r="O604" s="251"/>
      <c r="Q604" s="150"/>
      <c r="R604" s="150"/>
      <c r="S604" s="150"/>
      <c r="T604" s="150"/>
      <c r="U604" s="150"/>
      <c r="V604" s="150"/>
      <c r="W604" s="150"/>
      <c r="X604" s="150"/>
      <c r="Y604" s="150"/>
    </row>
    <row r="605" spans="2:25" ht="14.5" x14ac:dyDescent="0.35">
      <c r="B605" s="203">
        <f t="shared" si="29"/>
        <v>593</v>
      </c>
      <c r="C605" s="204">
        <f t="shared" si="26"/>
        <v>0</v>
      </c>
      <c r="D605" s="204" t="str">
        <f t="shared" si="27"/>
        <v/>
      </c>
      <c r="E605" s="203" t="str">
        <f t="shared" si="28"/>
        <v/>
      </c>
      <c r="F605" s="269"/>
      <c r="G605" s="206"/>
      <c r="H605" s="270"/>
      <c r="I605" s="271"/>
      <c r="J605" s="273"/>
      <c r="K605" s="266"/>
      <c r="L605" s="270"/>
      <c r="M605" s="274"/>
      <c r="N605" s="251"/>
      <c r="O605" s="251"/>
      <c r="Q605" s="150"/>
      <c r="R605" s="150"/>
      <c r="S605" s="150"/>
      <c r="T605" s="150"/>
      <c r="U605" s="150"/>
      <c r="V605" s="150"/>
      <c r="W605" s="150"/>
      <c r="X605" s="150"/>
      <c r="Y605" s="150"/>
    </row>
    <row r="606" spans="2:25" ht="14.5" x14ac:dyDescent="0.35">
      <c r="B606" s="203">
        <f t="shared" si="29"/>
        <v>594</v>
      </c>
      <c r="C606" s="204">
        <f t="shared" si="26"/>
        <v>0</v>
      </c>
      <c r="D606" s="204" t="str">
        <f t="shared" si="27"/>
        <v/>
      </c>
      <c r="E606" s="203" t="str">
        <f t="shared" si="28"/>
        <v/>
      </c>
      <c r="F606" s="269"/>
      <c r="G606" s="206"/>
      <c r="H606" s="270"/>
      <c r="I606" s="271"/>
      <c r="J606" s="273"/>
      <c r="K606" s="266"/>
      <c r="L606" s="270"/>
      <c r="M606" s="274"/>
      <c r="N606" s="251"/>
      <c r="O606" s="251"/>
      <c r="Q606" s="150"/>
      <c r="R606" s="150"/>
      <c r="S606" s="150"/>
      <c r="T606" s="150"/>
      <c r="U606" s="150"/>
      <c r="V606" s="150"/>
      <c r="W606" s="150"/>
      <c r="X606" s="150"/>
      <c r="Y606" s="150"/>
    </row>
    <row r="607" spans="2:25" ht="14.5" x14ac:dyDescent="0.35">
      <c r="B607" s="203">
        <f t="shared" si="29"/>
        <v>595</v>
      </c>
      <c r="C607" s="204">
        <f t="shared" si="26"/>
        <v>0</v>
      </c>
      <c r="D607" s="204" t="str">
        <f t="shared" si="27"/>
        <v/>
      </c>
      <c r="E607" s="203" t="str">
        <f t="shared" si="28"/>
        <v/>
      </c>
      <c r="F607" s="269"/>
      <c r="G607" s="206"/>
      <c r="H607" s="270"/>
      <c r="I607" s="271"/>
      <c r="J607" s="273"/>
      <c r="K607" s="266"/>
      <c r="L607" s="270"/>
      <c r="M607" s="274"/>
      <c r="N607" s="251"/>
      <c r="O607" s="251"/>
      <c r="Q607" s="150"/>
      <c r="R607" s="150"/>
      <c r="S607" s="150"/>
      <c r="T607" s="150"/>
      <c r="U607" s="150"/>
      <c r="V607" s="150"/>
      <c r="W607" s="150"/>
      <c r="X607" s="150"/>
      <c r="Y607" s="150"/>
    </row>
    <row r="608" spans="2:25" ht="14.5" x14ac:dyDescent="0.35">
      <c r="B608" s="203">
        <f t="shared" si="29"/>
        <v>596</v>
      </c>
      <c r="C608" s="204">
        <f t="shared" si="26"/>
        <v>0</v>
      </c>
      <c r="D608" s="204" t="str">
        <f t="shared" si="27"/>
        <v/>
      </c>
      <c r="E608" s="203" t="str">
        <f t="shared" si="28"/>
        <v/>
      </c>
      <c r="F608" s="269"/>
      <c r="G608" s="206"/>
      <c r="H608" s="270"/>
      <c r="I608" s="271"/>
      <c r="J608" s="273"/>
      <c r="K608" s="266"/>
      <c r="L608" s="270"/>
      <c r="M608" s="274"/>
      <c r="N608" s="251"/>
      <c r="O608" s="251"/>
      <c r="Q608" s="150"/>
      <c r="R608" s="150"/>
      <c r="S608" s="150"/>
      <c r="T608" s="150"/>
      <c r="U608" s="150"/>
      <c r="V608" s="150"/>
      <c r="W608" s="150"/>
      <c r="X608" s="150"/>
      <c r="Y608" s="150"/>
    </row>
    <row r="609" spans="2:25" ht="14.5" x14ac:dyDescent="0.35">
      <c r="B609" s="203">
        <f t="shared" si="29"/>
        <v>597</v>
      </c>
      <c r="C609" s="204">
        <f t="shared" si="26"/>
        <v>0</v>
      </c>
      <c r="D609" s="204" t="str">
        <f t="shared" si="27"/>
        <v/>
      </c>
      <c r="E609" s="203" t="str">
        <f t="shared" si="28"/>
        <v/>
      </c>
      <c r="F609" s="269"/>
      <c r="G609" s="206"/>
      <c r="H609" s="270"/>
      <c r="I609" s="271"/>
      <c r="J609" s="273"/>
      <c r="K609" s="266"/>
      <c r="L609" s="270"/>
      <c r="M609" s="274"/>
      <c r="N609" s="251"/>
      <c r="O609" s="251"/>
      <c r="Q609" s="150"/>
      <c r="R609" s="150"/>
      <c r="S609" s="150"/>
      <c r="T609" s="150"/>
      <c r="U609" s="150"/>
      <c r="V609" s="150"/>
      <c r="W609" s="150"/>
      <c r="X609" s="150"/>
      <c r="Y609" s="150"/>
    </row>
    <row r="610" spans="2:25" ht="14.5" x14ac:dyDescent="0.35">
      <c r="B610" s="203">
        <f t="shared" si="29"/>
        <v>598</v>
      </c>
      <c r="C610" s="204">
        <f t="shared" si="26"/>
        <v>0</v>
      </c>
      <c r="D610" s="204" t="str">
        <f t="shared" si="27"/>
        <v/>
      </c>
      <c r="E610" s="203" t="str">
        <f t="shared" si="28"/>
        <v/>
      </c>
      <c r="F610" s="269"/>
      <c r="G610" s="206"/>
      <c r="H610" s="270"/>
      <c r="I610" s="271"/>
      <c r="J610" s="273"/>
      <c r="K610" s="266"/>
      <c r="L610" s="270"/>
      <c r="M610" s="274"/>
      <c r="N610" s="251"/>
      <c r="O610" s="251"/>
      <c r="Q610" s="150"/>
      <c r="R610" s="150"/>
      <c r="S610" s="150"/>
      <c r="T610" s="150"/>
      <c r="U610" s="150"/>
      <c r="V610" s="150"/>
      <c r="W610" s="150"/>
      <c r="X610" s="150"/>
      <c r="Y610" s="150"/>
    </row>
    <row r="611" spans="2:25" ht="14.5" x14ac:dyDescent="0.35">
      <c r="B611" s="203">
        <f t="shared" si="29"/>
        <v>599</v>
      </c>
      <c r="C611" s="204">
        <f t="shared" si="26"/>
        <v>0</v>
      </c>
      <c r="D611" s="204" t="str">
        <f t="shared" si="27"/>
        <v/>
      </c>
      <c r="E611" s="203" t="str">
        <f t="shared" si="28"/>
        <v/>
      </c>
      <c r="F611" s="269"/>
      <c r="G611" s="206"/>
      <c r="H611" s="270"/>
      <c r="I611" s="271"/>
      <c r="J611" s="273"/>
      <c r="K611" s="266"/>
      <c r="L611" s="270"/>
      <c r="M611" s="274"/>
      <c r="N611" s="251"/>
      <c r="O611" s="251"/>
      <c r="Q611" s="150"/>
      <c r="R611" s="150"/>
      <c r="S611" s="150"/>
      <c r="T611" s="150"/>
      <c r="U611" s="150"/>
      <c r="V611" s="150"/>
      <c r="W611" s="150"/>
      <c r="X611" s="150"/>
      <c r="Y611" s="150"/>
    </row>
    <row r="612" spans="2:25" ht="14.5" x14ac:dyDescent="0.35">
      <c r="B612" s="203">
        <f t="shared" si="29"/>
        <v>600</v>
      </c>
      <c r="C612" s="204">
        <f t="shared" si="26"/>
        <v>0</v>
      </c>
      <c r="D612" s="204" t="str">
        <f t="shared" si="27"/>
        <v/>
      </c>
      <c r="E612" s="203" t="str">
        <f t="shared" si="28"/>
        <v/>
      </c>
      <c r="F612" s="269"/>
      <c r="G612" s="206"/>
      <c r="H612" s="270"/>
      <c r="I612" s="271"/>
      <c r="J612" s="273"/>
      <c r="K612" s="266"/>
      <c r="L612" s="270"/>
      <c r="M612" s="274"/>
      <c r="N612" s="251"/>
      <c r="O612" s="251"/>
      <c r="Q612" s="150"/>
      <c r="R612" s="150"/>
      <c r="S612" s="150"/>
      <c r="T612" s="150"/>
      <c r="U612" s="150"/>
      <c r="V612" s="150"/>
      <c r="W612" s="150"/>
      <c r="X612" s="150"/>
      <c r="Y612" s="150"/>
    </row>
    <row r="613" spans="2:25" ht="14.5" x14ac:dyDescent="0.35">
      <c r="B613" s="203">
        <f t="shared" si="29"/>
        <v>601</v>
      </c>
      <c r="C613" s="204">
        <f t="shared" si="26"/>
        <v>0</v>
      </c>
      <c r="D613" s="204" t="str">
        <f t="shared" si="27"/>
        <v/>
      </c>
      <c r="E613" s="203" t="str">
        <f t="shared" si="28"/>
        <v/>
      </c>
      <c r="F613" s="269"/>
      <c r="G613" s="206"/>
      <c r="H613" s="270"/>
      <c r="I613" s="271"/>
      <c r="J613" s="273"/>
      <c r="K613" s="266"/>
      <c r="L613" s="272"/>
      <c r="M613" s="274"/>
      <c r="N613" s="251"/>
      <c r="O613" s="251"/>
      <c r="Q613" s="150"/>
      <c r="R613" s="150"/>
      <c r="S613" s="150"/>
      <c r="T613" s="150"/>
      <c r="U613" s="150"/>
      <c r="V613" s="150"/>
      <c r="W613" s="150"/>
      <c r="X613" s="150"/>
      <c r="Y613" s="150"/>
    </row>
    <row r="614" spans="2:25" ht="14.5" x14ac:dyDescent="0.35">
      <c r="B614" s="203">
        <f t="shared" si="29"/>
        <v>602</v>
      </c>
      <c r="C614" s="204">
        <f t="shared" si="26"/>
        <v>0</v>
      </c>
      <c r="D614" s="204" t="str">
        <f t="shared" si="27"/>
        <v/>
      </c>
      <c r="E614" s="203" t="str">
        <f t="shared" si="28"/>
        <v/>
      </c>
      <c r="F614" s="269"/>
      <c r="G614" s="206"/>
      <c r="H614" s="270"/>
      <c r="I614" s="271"/>
      <c r="J614" s="273"/>
      <c r="K614" s="266"/>
      <c r="L614" s="272"/>
      <c r="M614" s="274"/>
      <c r="N614" s="251"/>
      <c r="O614" s="251"/>
      <c r="Q614" s="150"/>
      <c r="R614" s="150"/>
      <c r="S614" s="150"/>
      <c r="T614" s="150"/>
      <c r="U614" s="150"/>
      <c r="V614" s="150"/>
      <c r="W614" s="150"/>
      <c r="X614" s="150"/>
      <c r="Y614" s="150"/>
    </row>
    <row r="615" spans="2:25" ht="14.5" x14ac:dyDescent="0.35">
      <c r="B615" s="203">
        <f t="shared" si="29"/>
        <v>603</v>
      </c>
      <c r="C615" s="204">
        <f t="shared" si="26"/>
        <v>0</v>
      </c>
      <c r="D615" s="204" t="str">
        <f t="shared" si="27"/>
        <v/>
      </c>
      <c r="E615" s="203" t="str">
        <f t="shared" si="28"/>
        <v/>
      </c>
      <c r="F615" s="269"/>
      <c r="G615" s="206"/>
      <c r="H615" s="270"/>
      <c r="I615" s="271"/>
      <c r="J615" s="273"/>
      <c r="K615" s="266"/>
      <c r="L615" s="272"/>
      <c r="M615" s="274"/>
      <c r="N615" s="251"/>
      <c r="O615" s="251"/>
      <c r="Q615" s="150"/>
      <c r="R615" s="150"/>
      <c r="S615" s="150"/>
      <c r="T615" s="150"/>
      <c r="U615" s="150"/>
      <c r="V615" s="150"/>
      <c r="W615" s="150"/>
      <c r="X615" s="150"/>
      <c r="Y615" s="150"/>
    </row>
    <row r="616" spans="2:25" ht="14.5" x14ac:dyDescent="0.35">
      <c r="B616" s="203">
        <f t="shared" si="29"/>
        <v>604</v>
      </c>
      <c r="C616" s="204">
        <f t="shared" si="26"/>
        <v>0</v>
      </c>
      <c r="D616" s="204" t="str">
        <f t="shared" si="27"/>
        <v/>
      </c>
      <c r="E616" s="203" t="str">
        <f t="shared" si="28"/>
        <v/>
      </c>
      <c r="F616" s="269"/>
      <c r="G616" s="206"/>
      <c r="H616" s="270"/>
      <c r="I616" s="271"/>
      <c r="J616" s="273"/>
      <c r="K616" s="266"/>
      <c r="L616" s="270"/>
      <c r="M616" s="274"/>
      <c r="N616" s="251"/>
      <c r="O616" s="251"/>
      <c r="Q616" s="150"/>
      <c r="R616" s="150"/>
      <c r="S616" s="150"/>
      <c r="T616" s="150"/>
      <c r="U616" s="150"/>
      <c r="V616" s="150"/>
      <c r="W616" s="150"/>
      <c r="X616" s="150"/>
      <c r="Y616" s="150"/>
    </row>
    <row r="617" spans="2:25" ht="14.5" x14ac:dyDescent="0.35">
      <c r="B617" s="203">
        <f t="shared" si="29"/>
        <v>605</v>
      </c>
      <c r="C617" s="204">
        <f t="shared" si="26"/>
        <v>0</v>
      </c>
      <c r="D617" s="204" t="str">
        <f t="shared" si="27"/>
        <v/>
      </c>
      <c r="E617" s="203" t="str">
        <f t="shared" si="28"/>
        <v/>
      </c>
      <c r="F617" s="269"/>
      <c r="G617" s="206"/>
      <c r="H617" s="270"/>
      <c r="I617" s="271"/>
      <c r="J617" s="273"/>
      <c r="K617" s="266"/>
      <c r="L617" s="270"/>
      <c r="M617" s="274"/>
      <c r="N617" s="251"/>
      <c r="O617" s="251"/>
      <c r="Q617" s="150"/>
      <c r="R617" s="150"/>
      <c r="S617" s="150"/>
      <c r="T617" s="150"/>
      <c r="U617" s="150"/>
      <c r="V617" s="150"/>
      <c r="W617" s="150"/>
      <c r="X617" s="150"/>
      <c r="Y617" s="150"/>
    </row>
    <row r="618" spans="2:25" ht="14.5" x14ac:dyDescent="0.35">
      <c r="B618" s="203">
        <f t="shared" si="29"/>
        <v>606</v>
      </c>
      <c r="C618" s="204">
        <f t="shared" si="26"/>
        <v>0</v>
      </c>
      <c r="D618" s="204" t="str">
        <f t="shared" si="27"/>
        <v/>
      </c>
      <c r="E618" s="203" t="str">
        <f t="shared" si="28"/>
        <v/>
      </c>
      <c r="F618" s="269"/>
      <c r="G618" s="206"/>
      <c r="H618" s="270"/>
      <c r="I618" s="271"/>
      <c r="J618" s="273"/>
      <c r="K618" s="266"/>
      <c r="L618" s="270"/>
      <c r="M618" s="274"/>
      <c r="N618" s="251"/>
      <c r="O618" s="251"/>
      <c r="Q618" s="150"/>
      <c r="R618" s="150"/>
      <c r="S618" s="150"/>
      <c r="T618" s="150"/>
      <c r="U618" s="150"/>
      <c r="V618" s="150"/>
      <c r="W618" s="150"/>
      <c r="X618" s="150"/>
      <c r="Y618" s="150"/>
    </row>
    <row r="619" spans="2:25" ht="14.5" x14ac:dyDescent="0.35">
      <c r="B619" s="203">
        <f t="shared" si="29"/>
        <v>607</v>
      </c>
      <c r="C619" s="204">
        <f t="shared" si="26"/>
        <v>0</v>
      </c>
      <c r="D619" s="204" t="str">
        <f t="shared" si="27"/>
        <v/>
      </c>
      <c r="E619" s="203" t="str">
        <f t="shared" si="28"/>
        <v/>
      </c>
      <c r="F619" s="269"/>
      <c r="G619" s="206"/>
      <c r="H619" s="270"/>
      <c r="I619" s="271"/>
      <c r="J619" s="273"/>
      <c r="K619" s="266"/>
      <c r="L619" s="270"/>
      <c r="M619" s="274"/>
      <c r="N619" s="251"/>
      <c r="O619" s="251"/>
      <c r="Q619" s="150"/>
      <c r="R619" s="150"/>
      <c r="S619" s="150"/>
      <c r="T619" s="150"/>
      <c r="U619" s="150"/>
      <c r="V619" s="150"/>
      <c r="W619" s="150"/>
      <c r="X619" s="150"/>
      <c r="Y619" s="150"/>
    </row>
    <row r="620" spans="2:25" ht="14.5" x14ac:dyDescent="0.35">
      <c r="B620" s="203">
        <f t="shared" si="29"/>
        <v>608</v>
      </c>
      <c r="C620" s="204">
        <f t="shared" si="26"/>
        <v>0</v>
      </c>
      <c r="D620" s="204" t="str">
        <f t="shared" si="27"/>
        <v/>
      </c>
      <c r="E620" s="203" t="str">
        <f t="shared" si="28"/>
        <v/>
      </c>
      <c r="F620" s="269"/>
      <c r="G620" s="206"/>
      <c r="H620" s="270"/>
      <c r="I620" s="271"/>
      <c r="J620" s="273"/>
      <c r="K620" s="266"/>
      <c r="L620" s="270"/>
      <c r="M620" s="274"/>
      <c r="N620" s="251"/>
      <c r="O620" s="251"/>
      <c r="Q620" s="150"/>
      <c r="R620" s="150"/>
      <c r="S620" s="150"/>
      <c r="T620" s="150"/>
      <c r="U620" s="150"/>
      <c r="V620" s="150"/>
      <c r="W620" s="150"/>
      <c r="X620" s="150"/>
      <c r="Y620" s="150"/>
    </row>
    <row r="621" spans="2:25" ht="14.5" x14ac:dyDescent="0.35">
      <c r="B621" s="203">
        <f t="shared" si="29"/>
        <v>609</v>
      </c>
      <c r="C621" s="204">
        <f t="shared" si="26"/>
        <v>0</v>
      </c>
      <c r="D621" s="204" t="str">
        <f t="shared" si="27"/>
        <v/>
      </c>
      <c r="E621" s="203" t="str">
        <f t="shared" si="28"/>
        <v/>
      </c>
      <c r="F621" s="269"/>
      <c r="G621" s="206"/>
      <c r="H621" s="270"/>
      <c r="I621" s="271"/>
      <c r="J621" s="273"/>
      <c r="K621" s="266"/>
      <c r="L621" s="270"/>
      <c r="M621" s="274"/>
      <c r="N621" s="251"/>
      <c r="O621" s="251"/>
      <c r="Q621" s="150"/>
      <c r="R621" s="150"/>
      <c r="S621" s="150"/>
      <c r="T621" s="150"/>
      <c r="U621" s="150"/>
      <c r="V621" s="150"/>
      <c r="W621" s="150"/>
      <c r="X621" s="150"/>
      <c r="Y621" s="150"/>
    </row>
    <row r="622" spans="2:25" ht="14.5" x14ac:dyDescent="0.35">
      <c r="B622" s="203">
        <f t="shared" si="29"/>
        <v>610</v>
      </c>
      <c r="C622" s="204">
        <f t="shared" si="26"/>
        <v>0</v>
      </c>
      <c r="D622" s="204" t="str">
        <f t="shared" si="27"/>
        <v/>
      </c>
      <c r="E622" s="203" t="str">
        <f t="shared" si="28"/>
        <v/>
      </c>
      <c r="F622" s="269"/>
      <c r="G622" s="206"/>
      <c r="H622" s="270"/>
      <c r="I622" s="271"/>
      <c r="J622" s="273"/>
      <c r="K622" s="266"/>
      <c r="L622" s="270"/>
      <c r="M622" s="274"/>
      <c r="N622" s="251"/>
      <c r="O622" s="251"/>
      <c r="Q622" s="150"/>
      <c r="R622" s="150"/>
      <c r="S622" s="150"/>
      <c r="T622" s="150"/>
      <c r="U622" s="150"/>
      <c r="V622" s="150"/>
      <c r="W622" s="150"/>
      <c r="X622" s="150"/>
      <c r="Y622" s="150"/>
    </row>
    <row r="623" spans="2:25" ht="14.5" x14ac:dyDescent="0.35">
      <c r="B623" s="203">
        <f t="shared" si="29"/>
        <v>611</v>
      </c>
      <c r="C623" s="204">
        <f t="shared" si="26"/>
        <v>0</v>
      </c>
      <c r="D623" s="204" t="str">
        <f t="shared" si="27"/>
        <v/>
      </c>
      <c r="E623" s="203" t="str">
        <f t="shared" si="28"/>
        <v/>
      </c>
      <c r="F623" s="269"/>
      <c r="G623" s="206"/>
      <c r="H623" s="270"/>
      <c r="I623" s="151"/>
      <c r="J623" s="271"/>
      <c r="K623" s="266"/>
      <c r="L623" s="62"/>
      <c r="M623" s="274"/>
      <c r="N623" s="251"/>
      <c r="O623" s="251"/>
      <c r="Q623" s="150"/>
      <c r="R623" s="150"/>
      <c r="S623" s="150"/>
      <c r="T623" s="150"/>
      <c r="U623" s="150"/>
      <c r="V623" s="150"/>
      <c r="W623" s="150"/>
      <c r="X623" s="150"/>
      <c r="Y623" s="150"/>
    </row>
    <row r="624" spans="2:25" ht="14.5" x14ac:dyDescent="0.35">
      <c r="B624" s="203">
        <f t="shared" si="29"/>
        <v>612</v>
      </c>
      <c r="C624" s="204">
        <f t="shared" si="26"/>
        <v>0</v>
      </c>
      <c r="D624" s="204" t="str">
        <f t="shared" si="27"/>
        <v/>
      </c>
      <c r="E624" s="203" t="str">
        <f t="shared" si="28"/>
        <v/>
      </c>
      <c r="F624" s="269"/>
      <c r="G624" s="206"/>
      <c r="H624" s="270"/>
      <c r="I624" s="271"/>
      <c r="J624" s="273"/>
      <c r="K624" s="266"/>
      <c r="L624" s="270"/>
      <c r="M624" s="274"/>
      <c r="N624" s="251"/>
      <c r="O624" s="251"/>
      <c r="Q624" s="150"/>
      <c r="R624" s="150"/>
      <c r="S624" s="150"/>
      <c r="T624" s="150"/>
      <c r="U624" s="150"/>
      <c r="V624" s="150"/>
      <c r="W624" s="150"/>
      <c r="X624" s="150"/>
      <c r="Y624" s="150"/>
    </row>
    <row r="625" spans="2:25" ht="14.5" x14ac:dyDescent="0.35">
      <c r="B625" s="203">
        <f t="shared" si="29"/>
        <v>613</v>
      </c>
      <c r="C625" s="204">
        <f t="shared" si="26"/>
        <v>0</v>
      </c>
      <c r="D625" s="204" t="str">
        <f t="shared" si="27"/>
        <v/>
      </c>
      <c r="E625" s="203" t="str">
        <f t="shared" si="28"/>
        <v/>
      </c>
      <c r="F625" s="269"/>
      <c r="G625" s="206"/>
      <c r="H625" s="270"/>
      <c r="I625" s="271"/>
      <c r="J625" s="273"/>
      <c r="K625" s="266"/>
      <c r="L625" s="270"/>
      <c r="M625" s="274"/>
      <c r="N625" s="251"/>
      <c r="O625" s="251"/>
      <c r="Q625" s="150"/>
      <c r="R625" s="150"/>
      <c r="S625" s="150"/>
      <c r="T625" s="150"/>
      <c r="U625" s="150"/>
      <c r="V625" s="150"/>
      <c r="W625" s="150"/>
      <c r="X625" s="150"/>
      <c r="Y625" s="150"/>
    </row>
    <row r="626" spans="2:25" ht="14.5" x14ac:dyDescent="0.35">
      <c r="B626" s="203">
        <f t="shared" si="29"/>
        <v>614</v>
      </c>
      <c r="C626" s="204">
        <f t="shared" si="26"/>
        <v>0</v>
      </c>
      <c r="D626" s="204" t="str">
        <f t="shared" si="27"/>
        <v/>
      </c>
      <c r="E626" s="203" t="str">
        <f t="shared" si="28"/>
        <v/>
      </c>
      <c r="F626" s="269"/>
      <c r="G626" s="206"/>
      <c r="H626" s="270"/>
      <c r="I626" s="271"/>
      <c r="J626" s="273"/>
      <c r="K626" s="266"/>
      <c r="L626" s="270"/>
      <c r="M626" s="274"/>
      <c r="N626" s="251"/>
      <c r="O626" s="251"/>
      <c r="Q626" s="150"/>
      <c r="R626" s="150"/>
      <c r="S626" s="150"/>
      <c r="T626" s="150"/>
      <c r="U626" s="150"/>
      <c r="V626" s="150"/>
      <c r="W626" s="150"/>
      <c r="X626" s="150"/>
      <c r="Y626" s="150"/>
    </row>
    <row r="627" spans="2:25" ht="14.5" x14ac:dyDescent="0.35">
      <c r="B627" s="203">
        <f t="shared" si="29"/>
        <v>615</v>
      </c>
      <c r="C627" s="204">
        <f t="shared" si="26"/>
        <v>0</v>
      </c>
      <c r="D627" s="204" t="str">
        <f t="shared" si="27"/>
        <v/>
      </c>
      <c r="E627" s="203" t="str">
        <f t="shared" si="28"/>
        <v/>
      </c>
      <c r="F627" s="269"/>
      <c r="G627" s="206"/>
      <c r="H627" s="270"/>
      <c r="I627" s="271"/>
      <c r="J627" s="273"/>
      <c r="K627" s="266"/>
      <c r="L627" s="270"/>
      <c r="M627" s="274"/>
      <c r="N627" s="251"/>
      <c r="O627" s="251"/>
      <c r="Q627" s="150"/>
      <c r="R627" s="150"/>
      <c r="S627" s="150"/>
      <c r="T627" s="150"/>
      <c r="U627" s="150"/>
      <c r="V627" s="150"/>
      <c r="W627" s="150"/>
      <c r="X627" s="150"/>
      <c r="Y627" s="150"/>
    </row>
    <row r="628" spans="2:25" ht="14.5" x14ac:dyDescent="0.35">
      <c r="B628" s="203">
        <f t="shared" si="29"/>
        <v>616</v>
      </c>
      <c r="C628" s="204">
        <f t="shared" si="26"/>
        <v>0</v>
      </c>
      <c r="D628" s="204" t="str">
        <f t="shared" si="27"/>
        <v/>
      </c>
      <c r="E628" s="203" t="str">
        <f t="shared" si="28"/>
        <v/>
      </c>
      <c r="F628" s="269"/>
      <c r="G628" s="206"/>
      <c r="H628" s="270"/>
      <c r="I628" s="271"/>
      <c r="J628" s="273"/>
      <c r="K628" s="266"/>
      <c r="L628" s="270"/>
      <c r="M628" s="274"/>
      <c r="N628" s="251"/>
      <c r="O628" s="251"/>
      <c r="Q628" s="150"/>
      <c r="R628" s="150"/>
      <c r="S628" s="150"/>
      <c r="T628" s="150"/>
      <c r="U628" s="150"/>
      <c r="V628" s="150"/>
      <c r="W628" s="150"/>
      <c r="X628" s="150"/>
      <c r="Y628" s="150"/>
    </row>
    <row r="629" spans="2:25" ht="14.5" x14ac:dyDescent="0.35">
      <c r="B629" s="203">
        <f t="shared" si="29"/>
        <v>617</v>
      </c>
      <c r="C629" s="204">
        <f t="shared" si="26"/>
        <v>0</v>
      </c>
      <c r="D629" s="204" t="str">
        <f t="shared" si="27"/>
        <v/>
      </c>
      <c r="E629" s="203" t="str">
        <f t="shared" si="28"/>
        <v/>
      </c>
      <c r="F629" s="269"/>
      <c r="G629" s="206"/>
      <c r="H629" s="270"/>
      <c r="I629" s="271"/>
      <c r="J629" s="273"/>
      <c r="K629" s="266"/>
      <c r="L629" s="270"/>
      <c r="M629" s="274"/>
      <c r="N629" s="251"/>
      <c r="O629" s="251"/>
      <c r="Q629" s="150"/>
      <c r="R629" s="150"/>
      <c r="S629" s="150"/>
      <c r="T629" s="150"/>
      <c r="U629" s="150"/>
      <c r="V629" s="150"/>
      <c r="W629" s="150"/>
      <c r="X629" s="150"/>
      <c r="Y629" s="150"/>
    </row>
    <row r="630" spans="2:25" ht="14.5" x14ac:dyDescent="0.35">
      <c r="B630" s="203">
        <f t="shared" si="29"/>
        <v>618</v>
      </c>
      <c r="C630" s="204">
        <f t="shared" si="26"/>
        <v>0</v>
      </c>
      <c r="D630" s="204" t="str">
        <f t="shared" si="27"/>
        <v/>
      </c>
      <c r="E630" s="203" t="str">
        <f t="shared" si="28"/>
        <v/>
      </c>
      <c r="F630" s="269"/>
      <c r="G630" s="206"/>
      <c r="H630" s="270"/>
      <c r="I630" s="271"/>
      <c r="J630" s="273"/>
      <c r="K630" s="266"/>
      <c r="L630" s="272"/>
      <c r="M630" s="274"/>
      <c r="N630" s="251"/>
      <c r="O630" s="251"/>
      <c r="Q630" s="150"/>
      <c r="R630" s="150"/>
      <c r="S630" s="150"/>
      <c r="T630" s="150"/>
      <c r="U630" s="150"/>
      <c r="V630" s="150"/>
      <c r="W630" s="150"/>
      <c r="X630" s="150"/>
      <c r="Y630" s="150"/>
    </row>
    <row r="631" spans="2:25" ht="14.5" x14ac:dyDescent="0.35">
      <c r="B631" s="203">
        <f t="shared" si="29"/>
        <v>619</v>
      </c>
      <c r="C631" s="204">
        <f t="shared" si="26"/>
        <v>0</v>
      </c>
      <c r="D631" s="204" t="str">
        <f t="shared" si="27"/>
        <v/>
      </c>
      <c r="E631" s="203" t="str">
        <f t="shared" si="28"/>
        <v/>
      </c>
      <c r="F631" s="269"/>
      <c r="G631" s="206"/>
      <c r="H631" s="270"/>
      <c r="I631" s="271"/>
      <c r="J631" s="273"/>
      <c r="K631" s="266"/>
      <c r="L631" s="270"/>
      <c r="M631" s="274"/>
      <c r="N631" s="251"/>
      <c r="O631" s="251"/>
      <c r="Q631" s="150"/>
      <c r="R631" s="150"/>
      <c r="S631" s="150"/>
      <c r="T631" s="150"/>
      <c r="U631" s="150"/>
      <c r="V631" s="150"/>
      <c r="W631" s="150"/>
      <c r="X631" s="150"/>
      <c r="Y631" s="150"/>
    </row>
    <row r="632" spans="2:25" ht="14.5" x14ac:dyDescent="0.35">
      <c r="B632" s="203">
        <f t="shared" si="29"/>
        <v>620</v>
      </c>
      <c r="C632" s="204">
        <f t="shared" si="26"/>
        <v>0</v>
      </c>
      <c r="D632" s="204" t="str">
        <f t="shared" si="27"/>
        <v/>
      </c>
      <c r="E632" s="203" t="str">
        <f t="shared" si="28"/>
        <v/>
      </c>
      <c r="F632" s="269"/>
      <c r="G632" s="206"/>
      <c r="H632" s="270"/>
      <c r="I632" s="271"/>
      <c r="J632" s="273"/>
      <c r="K632" s="266"/>
      <c r="L632" s="270"/>
      <c r="M632" s="274"/>
      <c r="N632" s="251"/>
      <c r="O632" s="251"/>
      <c r="Q632" s="150"/>
      <c r="R632" s="150"/>
      <c r="S632" s="150"/>
      <c r="T632" s="150"/>
      <c r="U632" s="150"/>
      <c r="V632" s="150"/>
      <c r="W632" s="150"/>
      <c r="X632" s="150"/>
      <c r="Y632" s="150"/>
    </row>
    <row r="633" spans="2:25" ht="14.5" x14ac:dyDescent="0.35">
      <c r="B633" s="203">
        <f t="shared" si="29"/>
        <v>621</v>
      </c>
      <c r="C633" s="204">
        <f t="shared" si="26"/>
        <v>0</v>
      </c>
      <c r="D633" s="204" t="str">
        <f t="shared" si="27"/>
        <v/>
      </c>
      <c r="E633" s="203" t="str">
        <f t="shared" si="28"/>
        <v/>
      </c>
      <c r="F633" s="269"/>
      <c r="G633" s="206"/>
      <c r="H633" s="270"/>
      <c r="I633" s="271"/>
      <c r="J633" s="273"/>
      <c r="K633" s="266"/>
      <c r="L633" s="272"/>
      <c r="M633" s="274"/>
      <c r="N633" s="251"/>
      <c r="O633" s="251"/>
      <c r="Q633" s="150"/>
      <c r="R633" s="150"/>
      <c r="S633" s="150"/>
      <c r="T633" s="150"/>
      <c r="U633" s="150"/>
      <c r="V633" s="150"/>
      <c r="W633" s="150"/>
      <c r="X633" s="150"/>
      <c r="Y633" s="150"/>
    </row>
    <row r="634" spans="2:25" ht="14.5" x14ac:dyDescent="0.35">
      <c r="B634" s="203">
        <f t="shared" si="29"/>
        <v>622</v>
      </c>
      <c r="C634" s="204">
        <f t="shared" si="26"/>
        <v>0</v>
      </c>
      <c r="D634" s="204" t="str">
        <f t="shared" si="27"/>
        <v/>
      </c>
      <c r="E634" s="203" t="str">
        <f t="shared" si="28"/>
        <v/>
      </c>
      <c r="F634" s="269"/>
      <c r="G634" s="206"/>
      <c r="H634" s="270"/>
      <c r="I634" s="271"/>
      <c r="J634" s="273"/>
      <c r="K634" s="266"/>
      <c r="L634" s="270"/>
      <c r="M634" s="274"/>
      <c r="N634" s="251"/>
      <c r="O634" s="251"/>
      <c r="Q634" s="150"/>
      <c r="R634" s="150"/>
      <c r="S634" s="150"/>
      <c r="T634" s="150"/>
      <c r="U634" s="150"/>
      <c r="V634" s="150"/>
      <c r="W634" s="150"/>
      <c r="X634" s="150"/>
      <c r="Y634" s="150"/>
    </row>
    <row r="635" spans="2:25" ht="14.5" x14ac:dyDescent="0.35">
      <c r="B635" s="203">
        <f t="shared" si="29"/>
        <v>623</v>
      </c>
      <c r="C635" s="204">
        <f t="shared" si="26"/>
        <v>0</v>
      </c>
      <c r="D635" s="204" t="str">
        <f t="shared" si="27"/>
        <v/>
      </c>
      <c r="E635" s="203" t="str">
        <f t="shared" si="28"/>
        <v/>
      </c>
      <c r="F635" s="269"/>
      <c r="G635" s="206"/>
      <c r="H635" s="270"/>
      <c r="I635" s="271"/>
      <c r="J635" s="273"/>
      <c r="K635" s="266"/>
      <c r="L635" s="270"/>
      <c r="M635" s="274"/>
      <c r="N635" s="251"/>
      <c r="O635" s="251"/>
      <c r="Q635" s="150"/>
      <c r="R635" s="150"/>
      <c r="S635" s="150"/>
      <c r="T635" s="150"/>
      <c r="U635" s="150"/>
      <c r="V635" s="150"/>
      <c r="W635" s="150"/>
      <c r="X635" s="150"/>
      <c r="Y635" s="150"/>
    </row>
    <row r="636" spans="2:25" ht="14.5" x14ac:dyDescent="0.35">
      <c r="B636" s="203">
        <f t="shared" si="29"/>
        <v>624</v>
      </c>
      <c r="C636" s="204">
        <f t="shared" si="26"/>
        <v>0</v>
      </c>
      <c r="D636" s="204" t="str">
        <f t="shared" si="27"/>
        <v/>
      </c>
      <c r="E636" s="203" t="str">
        <f t="shared" si="28"/>
        <v/>
      </c>
      <c r="F636" s="269"/>
      <c r="G636" s="206"/>
      <c r="H636" s="270"/>
      <c r="I636" s="271"/>
      <c r="J636" s="273"/>
      <c r="K636" s="266"/>
      <c r="L636" s="270"/>
      <c r="M636" s="274"/>
      <c r="N636" s="251"/>
      <c r="O636" s="251"/>
      <c r="Q636" s="150"/>
      <c r="R636" s="150"/>
      <c r="S636" s="150"/>
      <c r="T636" s="150"/>
      <c r="U636" s="150"/>
      <c r="V636" s="150"/>
      <c r="W636" s="150"/>
      <c r="X636" s="150"/>
      <c r="Y636" s="150"/>
    </row>
    <row r="637" spans="2:25" ht="14.5" x14ac:dyDescent="0.35">
      <c r="B637" s="203">
        <f t="shared" si="29"/>
        <v>625</v>
      </c>
      <c r="C637" s="204">
        <f t="shared" si="26"/>
        <v>0</v>
      </c>
      <c r="D637" s="204" t="str">
        <f t="shared" si="27"/>
        <v/>
      </c>
      <c r="E637" s="203" t="str">
        <f t="shared" si="28"/>
        <v/>
      </c>
      <c r="F637" s="269"/>
      <c r="G637" s="206"/>
      <c r="H637" s="270"/>
      <c r="I637" s="151"/>
      <c r="J637" s="271"/>
      <c r="K637" s="266"/>
      <c r="L637" s="62"/>
      <c r="M637" s="274"/>
      <c r="N637" s="251"/>
      <c r="O637" s="251"/>
      <c r="Q637" s="150"/>
      <c r="R637" s="150"/>
      <c r="S637" s="150"/>
      <c r="T637" s="150"/>
      <c r="U637" s="150"/>
      <c r="V637" s="150"/>
      <c r="W637" s="150"/>
      <c r="X637" s="150"/>
      <c r="Y637" s="150"/>
    </row>
    <row r="638" spans="2:25" ht="14.5" x14ac:dyDescent="0.35">
      <c r="B638" s="203">
        <f t="shared" si="29"/>
        <v>626</v>
      </c>
      <c r="C638" s="204">
        <f t="shared" si="26"/>
        <v>0</v>
      </c>
      <c r="D638" s="204" t="str">
        <f t="shared" si="27"/>
        <v/>
      </c>
      <c r="E638" s="203" t="str">
        <f t="shared" si="28"/>
        <v/>
      </c>
      <c r="F638" s="269"/>
      <c r="G638" s="206"/>
      <c r="H638" s="270"/>
      <c r="I638" s="271"/>
      <c r="J638" s="273"/>
      <c r="K638" s="266"/>
      <c r="L638" s="270"/>
      <c r="M638" s="274"/>
      <c r="N638" s="251"/>
      <c r="O638" s="251"/>
      <c r="Q638" s="150"/>
      <c r="R638" s="150"/>
      <c r="S638" s="150"/>
      <c r="T638" s="150"/>
      <c r="U638" s="150"/>
      <c r="V638" s="150"/>
      <c r="W638" s="150"/>
      <c r="X638" s="150"/>
      <c r="Y638" s="150"/>
    </row>
    <row r="639" spans="2:25" ht="14.5" x14ac:dyDescent="0.35">
      <c r="B639" s="203">
        <f t="shared" si="29"/>
        <v>627</v>
      </c>
      <c r="C639" s="204">
        <f t="shared" si="26"/>
        <v>0</v>
      </c>
      <c r="D639" s="204" t="str">
        <f t="shared" si="27"/>
        <v/>
      </c>
      <c r="E639" s="203" t="str">
        <f t="shared" si="28"/>
        <v/>
      </c>
      <c r="F639" s="269"/>
      <c r="G639" s="206"/>
      <c r="H639" s="270"/>
      <c r="I639" s="271"/>
      <c r="J639" s="273"/>
      <c r="K639" s="266"/>
      <c r="L639" s="270"/>
      <c r="M639" s="274"/>
      <c r="N639" s="251"/>
      <c r="O639" s="251"/>
      <c r="Q639" s="150"/>
      <c r="R639" s="150"/>
      <c r="S639" s="150"/>
      <c r="T639" s="150"/>
      <c r="U639" s="150"/>
      <c r="V639" s="150"/>
      <c r="W639" s="150"/>
      <c r="X639" s="150"/>
      <c r="Y639" s="150"/>
    </row>
    <row r="640" spans="2:25" ht="14.5" x14ac:dyDescent="0.35">
      <c r="B640" s="203">
        <f t="shared" si="29"/>
        <v>628</v>
      </c>
      <c r="C640" s="204">
        <f t="shared" si="26"/>
        <v>0</v>
      </c>
      <c r="D640" s="204" t="str">
        <f t="shared" si="27"/>
        <v/>
      </c>
      <c r="E640" s="203" t="str">
        <f t="shared" si="28"/>
        <v/>
      </c>
      <c r="F640" s="269"/>
      <c r="G640" s="206"/>
      <c r="H640" s="270"/>
      <c r="I640" s="271"/>
      <c r="J640" s="273"/>
      <c r="K640" s="266"/>
      <c r="L640" s="270"/>
      <c r="M640" s="274"/>
      <c r="N640" s="251"/>
      <c r="O640" s="251"/>
      <c r="Q640" s="150"/>
      <c r="R640" s="150"/>
      <c r="S640" s="150"/>
      <c r="T640" s="150"/>
      <c r="U640" s="150"/>
      <c r="V640" s="150"/>
      <c r="W640" s="150"/>
      <c r="X640" s="150"/>
      <c r="Y640" s="150"/>
    </row>
    <row r="641" spans="2:25" ht="14.5" x14ac:dyDescent="0.35">
      <c r="B641" s="203">
        <f t="shared" si="29"/>
        <v>629</v>
      </c>
      <c r="C641" s="204">
        <f t="shared" si="26"/>
        <v>0</v>
      </c>
      <c r="D641" s="204" t="str">
        <f t="shared" si="27"/>
        <v/>
      </c>
      <c r="E641" s="203" t="str">
        <f t="shared" si="28"/>
        <v/>
      </c>
      <c r="F641" s="269"/>
      <c r="G641" s="206"/>
      <c r="H641" s="270"/>
      <c r="I641" s="271"/>
      <c r="J641" s="273"/>
      <c r="K641" s="266"/>
      <c r="L641" s="270"/>
      <c r="M641" s="274"/>
      <c r="N641" s="251"/>
      <c r="O641" s="251"/>
      <c r="Q641" s="150"/>
      <c r="R641" s="150"/>
      <c r="S641" s="150"/>
      <c r="T641" s="150"/>
      <c r="U641" s="150"/>
      <c r="V641" s="150"/>
      <c r="W641" s="150"/>
      <c r="X641" s="150"/>
      <c r="Y641" s="150"/>
    </row>
    <row r="642" spans="2:25" ht="14.5" x14ac:dyDescent="0.35">
      <c r="B642" s="203">
        <f t="shared" si="29"/>
        <v>630</v>
      </c>
      <c r="C642" s="204">
        <f t="shared" si="26"/>
        <v>0</v>
      </c>
      <c r="D642" s="204" t="str">
        <f t="shared" si="27"/>
        <v/>
      </c>
      <c r="E642" s="203" t="str">
        <f t="shared" si="28"/>
        <v/>
      </c>
      <c r="F642" s="269"/>
      <c r="G642" s="206"/>
      <c r="H642" s="270"/>
      <c r="I642" s="271"/>
      <c r="J642" s="273"/>
      <c r="K642" s="266"/>
      <c r="L642" s="270"/>
      <c r="M642" s="274"/>
      <c r="N642" s="251"/>
      <c r="O642" s="251"/>
      <c r="Q642" s="150"/>
      <c r="R642" s="150"/>
      <c r="S642" s="150"/>
      <c r="T642" s="150"/>
      <c r="U642" s="150"/>
      <c r="V642" s="150"/>
      <c r="W642" s="150"/>
      <c r="X642" s="150"/>
      <c r="Y642" s="150"/>
    </row>
    <row r="643" spans="2:25" ht="14.5" x14ac:dyDescent="0.35">
      <c r="B643" s="203">
        <f t="shared" si="29"/>
        <v>631</v>
      </c>
      <c r="C643" s="204">
        <f t="shared" si="26"/>
        <v>0</v>
      </c>
      <c r="D643" s="204" t="str">
        <f t="shared" si="27"/>
        <v/>
      </c>
      <c r="E643" s="203" t="str">
        <f t="shared" si="28"/>
        <v/>
      </c>
      <c r="F643" s="269"/>
      <c r="G643" s="206"/>
      <c r="H643" s="270"/>
      <c r="I643" s="271"/>
      <c r="J643" s="273"/>
      <c r="K643" s="266"/>
      <c r="L643" s="272"/>
      <c r="M643" s="274"/>
      <c r="N643" s="251"/>
      <c r="O643" s="251"/>
      <c r="Q643" s="150"/>
      <c r="R643" s="150"/>
      <c r="S643" s="150"/>
      <c r="T643" s="150"/>
      <c r="U643" s="150"/>
      <c r="V643" s="150"/>
      <c r="W643" s="150"/>
      <c r="X643" s="150"/>
      <c r="Y643" s="150"/>
    </row>
    <row r="644" spans="2:25" ht="14.5" x14ac:dyDescent="0.35">
      <c r="B644" s="203">
        <f t="shared" si="29"/>
        <v>632</v>
      </c>
      <c r="C644" s="204">
        <f t="shared" si="26"/>
        <v>0</v>
      </c>
      <c r="D644" s="204" t="str">
        <f t="shared" si="27"/>
        <v/>
      </c>
      <c r="E644" s="203" t="str">
        <f t="shared" si="28"/>
        <v/>
      </c>
      <c r="F644" s="269"/>
      <c r="G644" s="206"/>
      <c r="H644" s="270"/>
      <c r="I644" s="271"/>
      <c r="J644" s="273"/>
      <c r="K644" s="266"/>
      <c r="L644" s="270"/>
      <c r="M644" s="274"/>
      <c r="N644" s="251"/>
      <c r="O644" s="251"/>
      <c r="Q644" s="150"/>
      <c r="R644" s="150"/>
      <c r="S644" s="150"/>
      <c r="T644" s="150"/>
      <c r="U644" s="150"/>
      <c r="V644" s="150"/>
      <c r="W644" s="150"/>
      <c r="X644" s="150"/>
      <c r="Y644" s="150"/>
    </row>
    <row r="645" spans="2:25" ht="14.5" x14ac:dyDescent="0.35">
      <c r="B645" s="203">
        <f t="shared" si="29"/>
        <v>633</v>
      </c>
      <c r="C645" s="204">
        <f t="shared" si="26"/>
        <v>0</v>
      </c>
      <c r="D645" s="204" t="str">
        <f t="shared" si="27"/>
        <v/>
      </c>
      <c r="E645" s="203" t="str">
        <f t="shared" si="28"/>
        <v/>
      </c>
      <c r="F645" s="269"/>
      <c r="G645" s="206"/>
      <c r="H645" s="270"/>
      <c r="I645" s="271"/>
      <c r="J645" s="273"/>
      <c r="K645" s="266"/>
      <c r="L645" s="270"/>
      <c r="M645" s="274"/>
      <c r="N645" s="251"/>
      <c r="O645" s="251"/>
      <c r="Q645" s="150"/>
      <c r="R645" s="150"/>
      <c r="S645" s="150"/>
      <c r="T645" s="150"/>
      <c r="U645" s="150"/>
      <c r="V645" s="150"/>
      <c r="W645" s="150"/>
      <c r="X645" s="150"/>
      <c r="Y645" s="150"/>
    </row>
    <row r="646" spans="2:25" ht="14.5" x14ac:dyDescent="0.35">
      <c r="B646" s="203">
        <f t="shared" si="29"/>
        <v>634</v>
      </c>
      <c r="C646" s="204">
        <f t="shared" si="26"/>
        <v>0</v>
      </c>
      <c r="D646" s="204" t="str">
        <f t="shared" si="27"/>
        <v/>
      </c>
      <c r="E646" s="203" t="str">
        <f t="shared" si="28"/>
        <v/>
      </c>
      <c r="F646" s="269"/>
      <c r="G646" s="206"/>
      <c r="H646" s="270"/>
      <c r="I646" s="271"/>
      <c r="J646" s="273"/>
      <c r="K646" s="266"/>
      <c r="L646" s="270"/>
      <c r="M646" s="274"/>
      <c r="N646" s="251"/>
      <c r="O646" s="251"/>
      <c r="Q646" s="150"/>
      <c r="R646" s="150"/>
      <c r="S646" s="150"/>
      <c r="T646" s="150"/>
      <c r="U646" s="150"/>
      <c r="V646" s="150"/>
      <c r="W646" s="150"/>
      <c r="X646" s="150"/>
      <c r="Y646" s="150"/>
    </row>
    <row r="647" spans="2:25" ht="14.5" x14ac:dyDescent="0.35">
      <c r="B647" s="203">
        <f t="shared" si="29"/>
        <v>635</v>
      </c>
      <c r="C647" s="204">
        <f t="shared" si="26"/>
        <v>0</v>
      </c>
      <c r="D647" s="204" t="str">
        <f t="shared" si="27"/>
        <v/>
      </c>
      <c r="E647" s="203" t="str">
        <f t="shared" si="28"/>
        <v/>
      </c>
      <c r="F647" s="269"/>
      <c r="G647" s="206"/>
      <c r="H647" s="270"/>
      <c r="I647" s="271"/>
      <c r="J647" s="273"/>
      <c r="K647" s="266"/>
      <c r="L647" s="270"/>
      <c r="M647" s="274"/>
      <c r="N647" s="251"/>
      <c r="O647" s="251"/>
      <c r="Q647" s="150"/>
      <c r="R647" s="150"/>
      <c r="S647" s="150"/>
      <c r="T647" s="150"/>
      <c r="U647" s="150"/>
      <c r="V647" s="150"/>
      <c r="W647" s="150"/>
      <c r="X647" s="150"/>
      <c r="Y647" s="150"/>
    </row>
    <row r="648" spans="2:25" ht="14.5" x14ac:dyDescent="0.35">
      <c r="B648" s="203">
        <f t="shared" si="29"/>
        <v>636</v>
      </c>
      <c r="C648" s="204">
        <f t="shared" si="26"/>
        <v>0</v>
      </c>
      <c r="D648" s="204" t="str">
        <f t="shared" si="27"/>
        <v/>
      </c>
      <c r="E648" s="203" t="str">
        <f t="shared" si="28"/>
        <v/>
      </c>
      <c r="F648" s="269"/>
      <c r="G648" s="206"/>
      <c r="H648" s="270"/>
      <c r="I648" s="271"/>
      <c r="J648" s="273"/>
      <c r="K648" s="266"/>
      <c r="L648" s="272"/>
      <c r="M648" s="274"/>
      <c r="N648" s="251"/>
      <c r="O648" s="251"/>
      <c r="Q648" s="150"/>
      <c r="R648" s="150"/>
      <c r="S648" s="150"/>
      <c r="T648" s="150"/>
      <c r="U648" s="150"/>
      <c r="V648" s="150"/>
      <c r="W648" s="150"/>
      <c r="X648" s="150"/>
      <c r="Y648" s="150"/>
    </row>
    <row r="649" spans="2:25" ht="14.5" x14ac:dyDescent="0.35">
      <c r="B649" s="203">
        <f t="shared" si="29"/>
        <v>637</v>
      </c>
      <c r="C649" s="204">
        <f t="shared" si="26"/>
        <v>0</v>
      </c>
      <c r="D649" s="204" t="str">
        <f t="shared" si="27"/>
        <v/>
      </c>
      <c r="E649" s="203" t="str">
        <f t="shared" si="28"/>
        <v/>
      </c>
      <c r="F649" s="269"/>
      <c r="G649" s="206"/>
      <c r="H649" s="270"/>
      <c r="I649" s="271"/>
      <c r="J649" s="273"/>
      <c r="K649" s="266"/>
      <c r="L649" s="270"/>
      <c r="M649" s="274"/>
      <c r="N649" s="251"/>
      <c r="O649" s="251"/>
      <c r="Q649" s="150"/>
      <c r="R649" s="150"/>
      <c r="S649" s="150"/>
      <c r="T649" s="150"/>
      <c r="U649" s="150"/>
      <c r="V649" s="150"/>
      <c r="W649" s="150"/>
      <c r="X649" s="150"/>
      <c r="Y649" s="150"/>
    </row>
    <row r="650" spans="2:25" ht="14.5" x14ac:dyDescent="0.35">
      <c r="B650" s="203">
        <f t="shared" si="29"/>
        <v>638</v>
      </c>
      <c r="C650" s="204">
        <f t="shared" si="26"/>
        <v>0</v>
      </c>
      <c r="D650" s="204" t="str">
        <f t="shared" si="27"/>
        <v/>
      </c>
      <c r="E650" s="203" t="str">
        <f t="shared" si="28"/>
        <v/>
      </c>
      <c r="F650" s="269"/>
      <c r="G650" s="206"/>
      <c r="H650" s="270"/>
      <c r="I650" s="271"/>
      <c r="J650" s="273"/>
      <c r="K650" s="266"/>
      <c r="L650" s="272"/>
      <c r="M650" s="274"/>
      <c r="N650" s="251"/>
      <c r="O650" s="251"/>
      <c r="Q650" s="150"/>
      <c r="R650" s="150"/>
      <c r="S650" s="150"/>
      <c r="T650" s="150"/>
      <c r="U650" s="150"/>
      <c r="V650" s="150"/>
      <c r="W650" s="150"/>
      <c r="X650" s="150"/>
      <c r="Y650" s="150"/>
    </row>
    <row r="651" spans="2:25" ht="14.5" x14ac:dyDescent="0.35">
      <c r="B651" s="203">
        <f t="shared" si="29"/>
        <v>639</v>
      </c>
      <c r="C651" s="204">
        <f t="shared" si="26"/>
        <v>0</v>
      </c>
      <c r="D651" s="204" t="str">
        <f t="shared" si="27"/>
        <v/>
      </c>
      <c r="E651" s="203" t="str">
        <f t="shared" si="28"/>
        <v/>
      </c>
      <c r="F651" s="269"/>
      <c r="G651" s="206"/>
      <c r="H651" s="270"/>
      <c r="I651" s="151"/>
      <c r="J651" s="271"/>
      <c r="K651" s="266"/>
      <c r="L651" s="62"/>
      <c r="M651" s="274"/>
      <c r="N651" s="251"/>
      <c r="O651" s="251"/>
      <c r="Q651" s="150"/>
      <c r="R651" s="150"/>
      <c r="S651" s="150"/>
      <c r="T651" s="150"/>
      <c r="U651" s="150"/>
      <c r="V651" s="150"/>
      <c r="W651" s="150"/>
      <c r="X651" s="150"/>
      <c r="Y651" s="150"/>
    </row>
    <row r="652" spans="2:25" ht="14.5" x14ac:dyDescent="0.35">
      <c r="B652" s="203">
        <f t="shared" si="29"/>
        <v>640</v>
      </c>
      <c r="C652" s="204">
        <f t="shared" si="26"/>
        <v>0</v>
      </c>
      <c r="D652" s="204" t="str">
        <f t="shared" si="27"/>
        <v/>
      </c>
      <c r="E652" s="203" t="str">
        <f t="shared" si="28"/>
        <v/>
      </c>
      <c r="F652" s="269"/>
      <c r="G652" s="206"/>
      <c r="H652" s="270"/>
      <c r="I652" s="271"/>
      <c r="J652" s="273"/>
      <c r="K652" s="266"/>
      <c r="L652" s="270"/>
      <c r="M652" s="274"/>
      <c r="N652" s="251"/>
      <c r="O652" s="251"/>
      <c r="Q652" s="150"/>
      <c r="R652" s="150"/>
      <c r="S652" s="150"/>
      <c r="T652" s="150"/>
      <c r="U652" s="150"/>
      <c r="V652" s="150"/>
      <c r="W652" s="150"/>
      <c r="X652" s="150"/>
      <c r="Y652" s="150"/>
    </row>
    <row r="653" spans="2:25" ht="14.5" x14ac:dyDescent="0.35">
      <c r="B653" s="203">
        <f t="shared" si="29"/>
        <v>641</v>
      </c>
      <c r="C653" s="204">
        <f t="shared" ref="C653:C716" si="30">IFERROR(DAY(F653),0)</f>
        <v>0</v>
      </c>
      <c r="D653" s="204" t="str">
        <f t="shared" ref="D653:D716" si="31">IFERROR(IF(F653="","",TEXT(DATE(0,MONTH(F653),1),"MMM")),"date issue")</f>
        <v/>
      </c>
      <c r="E653" s="203" t="str">
        <f t="shared" ref="E653:E716" si="32">IFERROR(IF(OR(C653=1,C653=2,C653=3,C653=4,C653=5,C653=6,C653=7),1,IF(OR(C653=8,C653=9,C653=10,C653=11,C653=12,C653=13,C653=14),2,IF(OR(C653=15,C653=16,C653=17,C653=18,C653=19,C653=20,C653=21),3,IF(OR(C653=22,C653=23,C653=24,C653=25,C653=26,C653=27,C653=28),4,IF(OR(C653=29,C653=30,C653=31),5,""))))),0)</f>
        <v/>
      </c>
      <c r="F653" s="269"/>
      <c r="G653" s="206"/>
      <c r="H653" s="270"/>
      <c r="I653" s="271"/>
      <c r="J653" s="273"/>
      <c r="K653" s="266"/>
      <c r="L653" s="270"/>
      <c r="M653" s="274"/>
      <c r="N653" s="251"/>
      <c r="O653" s="251"/>
      <c r="Q653" s="150"/>
      <c r="R653" s="150"/>
      <c r="S653" s="150"/>
      <c r="T653" s="150"/>
      <c r="U653" s="150"/>
      <c r="V653" s="150"/>
      <c r="W653" s="150"/>
      <c r="X653" s="150"/>
      <c r="Y653" s="150"/>
    </row>
    <row r="654" spans="2:25" ht="14.5" x14ac:dyDescent="0.35">
      <c r="B654" s="203">
        <f t="shared" si="29"/>
        <v>642</v>
      </c>
      <c r="C654" s="204">
        <f t="shared" si="30"/>
        <v>0</v>
      </c>
      <c r="D654" s="204" t="str">
        <f t="shared" si="31"/>
        <v/>
      </c>
      <c r="E654" s="203" t="str">
        <f t="shared" si="32"/>
        <v/>
      </c>
      <c r="F654" s="269"/>
      <c r="G654" s="206"/>
      <c r="H654" s="270"/>
      <c r="I654" s="271"/>
      <c r="J654" s="273"/>
      <c r="K654" s="266"/>
      <c r="L654" s="272"/>
      <c r="M654" s="274"/>
      <c r="N654" s="251"/>
      <c r="O654" s="251"/>
      <c r="Q654" s="150"/>
      <c r="R654" s="150"/>
      <c r="S654" s="150"/>
      <c r="T654" s="150"/>
      <c r="U654" s="150"/>
      <c r="V654" s="150"/>
      <c r="W654" s="150"/>
      <c r="X654" s="150"/>
      <c r="Y654" s="150"/>
    </row>
    <row r="655" spans="2:25" ht="14.5" x14ac:dyDescent="0.35">
      <c r="B655" s="203">
        <f t="shared" si="29"/>
        <v>643</v>
      </c>
      <c r="C655" s="204">
        <f t="shared" si="30"/>
        <v>0</v>
      </c>
      <c r="D655" s="204" t="str">
        <f t="shared" si="31"/>
        <v/>
      </c>
      <c r="E655" s="203" t="str">
        <f t="shared" si="32"/>
        <v/>
      </c>
      <c r="F655" s="269"/>
      <c r="G655" s="206"/>
      <c r="H655" s="270"/>
      <c r="I655" s="271"/>
      <c r="J655" s="273"/>
      <c r="K655" s="266"/>
      <c r="L655" s="272"/>
      <c r="M655" s="274"/>
      <c r="N655" s="251"/>
      <c r="O655" s="251"/>
      <c r="Q655" s="150"/>
      <c r="R655" s="150"/>
      <c r="S655" s="150"/>
      <c r="T655" s="150"/>
      <c r="U655" s="150"/>
      <c r="V655" s="150"/>
      <c r="W655" s="150"/>
      <c r="X655" s="150"/>
      <c r="Y655" s="150"/>
    </row>
    <row r="656" spans="2:25" ht="14.5" x14ac:dyDescent="0.35">
      <c r="B656" s="203">
        <f t="shared" si="29"/>
        <v>644</v>
      </c>
      <c r="C656" s="204">
        <f t="shared" si="30"/>
        <v>0</v>
      </c>
      <c r="D656" s="204" t="str">
        <f t="shared" si="31"/>
        <v/>
      </c>
      <c r="E656" s="203" t="str">
        <f t="shared" si="32"/>
        <v/>
      </c>
      <c r="F656" s="269"/>
      <c r="G656" s="206"/>
      <c r="H656" s="270"/>
      <c r="I656" s="271"/>
      <c r="J656" s="273"/>
      <c r="K656" s="266"/>
      <c r="L656" s="272"/>
      <c r="M656" s="274"/>
      <c r="N656" s="251"/>
      <c r="O656" s="251"/>
      <c r="Q656" s="150"/>
      <c r="R656" s="150"/>
      <c r="S656" s="150"/>
      <c r="T656" s="150"/>
      <c r="U656" s="150"/>
      <c r="V656" s="150"/>
      <c r="W656" s="150"/>
      <c r="X656" s="150"/>
      <c r="Y656" s="150"/>
    </row>
    <row r="657" spans="2:25" ht="14.5" x14ac:dyDescent="0.35">
      <c r="B657" s="203">
        <f t="shared" si="29"/>
        <v>645</v>
      </c>
      <c r="C657" s="204">
        <f t="shared" si="30"/>
        <v>0</v>
      </c>
      <c r="D657" s="204" t="str">
        <f t="shared" si="31"/>
        <v/>
      </c>
      <c r="E657" s="203" t="str">
        <f t="shared" si="32"/>
        <v/>
      </c>
      <c r="F657" s="269"/>
      <c r="G657" s="206"/>
      <c r="H657" s="270"/>
      <c r="I657" s="271"/>
      <c r="J657" s="273"/>
      <c r="K657" s="266"/>
      <c r="L657" s="272"/>
      <c r="M657" s="274"/>
      <c r="N657" s="251"/>
      <c r="O657" s="251"/>
      <c r="Q657" s="150"/>
      <c r="R657" s="150"/>
      <c r="S657" s="150"/>
      <c r="T657" s="150"/>
      <c r="U657" s="150"/>
      <c r="V657" s="150"/>
      <c r="W657" s="150"/>
      <c r="X657" s="150"/>
      <c r="Y657" s="150"/>
    </row>
    <row r="658" spans="2:25" ht="14.5" x14ac:dyDescent="0.35">
      <c r="B658" s="203">
        <f t="shared" si="29"/>
        <v>646</v>
      </c>
      <c r="C658" s="204">
        <f t="shared" si="30"/>
        <v>0</v>
      </c>
      <c r="D658" s="204" t="str">
        <f t="shared" si="31"/>
        <v/>
      </c>
      <c r="E658" s="203" t="str">
        <f t="shared" si="32"/>
        <v/>
      </c>
      <c r="F658" s="269"/>
      <c r="G658" s="206"/>
      <c r="H658" s="270"/>
      <c r="I658" s="271"/>
      <c r="J658" s="273"/>
      <c r="K658" s="266"/>
      <c r="L658" s="270"/>
      <c r="M658" s="274"/>
      <c r="N658" s="251"/>
      <c r="O658" s="251"/>
      <c r="Q658" s="150"/>
      <c r="R658" s="150"/>
      <c r="S658" s="150"/>
      <c r="T658" s="150"/>
      <c r="U658" s="150"/>
      <c r="V658" s="150"/>
      <c r="W658" s="150"/>
      <c r="X658" s="150"/>
      <c r="Y658" s="150"/>
    </row>
    <row r="659" spans="2:25" ht="14.5" x14ac:dyDescent="0.35">
      <c r="B659" s="203">
        <f t="shared" si="29"/>
        <v>647</v>
      </c>
      <c r="C659" s="204">
        <f t="shared" si="30"/>
        <v>0</v>
      </c>
      <c r="D659" s="204" t="str">
        <f t="shared" si="31"/>
        <v/>
      </c>
      <c r="E659" s="203" t="str">
        <f t="shared" si="32"/>
        <v/>
      </c>
      <c r="F659" s="269"/>
      <c r="G659" s="206"/>
      <c r="H659" s="270"/>
      <c r="I659" s="271"/>
      <c r="J659" s="273"/>
      <c r="K659" s="266"/>
      <c r="L659" s="270"/>
      <c r="M659" s="274"/>
      <c r="N659" s="251"/>
      <c r="O659" s="251"/>
      <c r="Q659" s="150"/>
      <c r="R659" s="150"/>
      <c r="S659" s="150"/>
      <c r="T659" s="150"/>
      <c r="U659" s="150"/>
      <c r="V659" s="150"/>
      <c r="W659" s="150"/>
      <c r="X659" s="150"/>
      <c r="Y659" s="150"/>
    </row>
    <row r="660" spans="2:25" ht="14.5" x14ac:dyDescent="0.35">
      <c r="B660" s="203">
        <f t="shared" si="29"/>
        <v>648</v>
      </c>
      <c r="C660" s="204">
        <f t="shared" si="30"/>
        <v>0</v>
      </c>
      <c r="D660" s="204" t="str">
        <f t="shared" si="31"/>
        <v/>
      </c>
      <c r="E660" s="203" t="str">
        <f t="shared" si="32"/>
        <v/>
      </c>
      <c r="F660" s="269"/>
      <c r="G660" s="206"/>
      <c r="H660" s="270"/>
      <c r="I660" s="271"/>
      <c r="J660" s="273"/>
      <c r="K660" s="266"/>
      <c r="L660" s="270"/>
      <c r="M660" s="274"/>
      <c r="N660" s="251"/>
      <c r="O660" s="251"/>
      <c r="Q660" s="150"/>
      <c r="R660" s="150"/>
      <c r="S660" s="150"/>
      <c r="T660" s="150"/>
      <c r="U660" s="150"/>
      <c r="V660" s="150"/>
      <c r="W660" s="150"/>
      <c r="X660" s="150"/>
      <c r="Y660" s="150"/>
    </row>
    <row r="661" spans="2:25" ht="14.5" x14ac:dyDescent="0.35">
      <c r="B661" s="203">
        <f t="shared" si="29"/>
        <v>649</v>
      </c>
      <c r="C661" s="204">
        <f t="shared" si="30"/>
        <v>0</v>
      </c>
      <c r="D661" s="204" t="str">
        <f t="shared" si="31"/>
        <v/>
      </c>
      <c r="E661" s="203" t="str">
        <f t="shared" si="32"/>
        <v/>
      </c>
      <c r="F661" s="269"/>
      <c r="G661" s="206"/>
      <c r="H661" s="270"/>
      <c r="I661" s="271"/>
      <c r="J661" s="273"/>
      <c r="K661" s="266"/>
      <c r="L661" s="270"/>
      <c r="M661" s="274"/>
      <c r="N661" s="251"/>
      <c r="O661" s="251"/>
      <c r="Q661" s="150"/>
      <c r="R661" s="150"/>
      <c r="S661" s="150"/>
      <c r="T661" s="150"/>
      <c r="U661" s="150"/>
      <c r="V661" s="150"/>
      <c r="W661" s="150"/>
      <c r="X661" s="150"/>
      <c r="Y661" s="150"/>
    </row>
    <row r="662" spans="2:25" ht="14.5" x14ac:dyDescent="0.35">
      <c r="B662" s="203">
        <f t="shared" si="29"/>
        <v>650</v>
      </c>
      <c r="C662" s="204">
        <f t="shared" si="30"/>
        <v>0</v>
      </c>
      <c r="D662" s="204" t="str">
        <f t="shared" si="31"/>
        <v/>
      </c>
      <c r="E662" s="203" t="str">
        <f t="shared" si="32"/>
        <v/>
      </c>
      <c r="F662" s="269"/>
      <c r="G662" s="206"/>
      <c r="H662" s="270"/>
      <c r="I662" s="271"/>
      <c r="J662" s="273"/>
      <c r="K662" s="266"/>
      <c r="L662" s="270"/>
      <c r="M662" s="274"/>
      <c r="N662" s="251"/>
      <c r="O662" s="251"/>
      <c r="Q662" s="150"/>
      <c r="R662" s="150"/>
      <c r="S662" s="150"/>
      <c r="T662" s="150"/>
      <c r="U662" s="150"/>
      <c r="V662" s="150"/>
      <c r="W662" s="150"/>
      <c r="X662" s="150"/>
      <c r="Y662" s="150"/>
    </row>
    <row r="663" spans="2:25" ht="14.5" x14ac:dyDescent="0.35">
      <c r="B663" s="203">
        <f t="shared" ref="B663:B726" si="33">B662+1</f>
        <v>651</v>
      </c>
      <c r="C663" s="204">
        <f t="shared" si="30"/>
        <v>0</v>
      </c>
      <c r="D663" s="204" t="str">
        <f t="shared" si="31"/>
        <v/>
      </c>
      <c r="E663" s="203" t="str">
        <f t="shared" si="32"/>
        <v/>
      </c>
      <c r="F663" s="269"/>
      <c r="G663" s="206"/>
      <c r="H663" s="270"/>
      <c r="I663" s="271"/>
      <c r="J663" s="273"/>
      <c r="K663" s="266"/>
      <c r="L663" s="270"/>
      <c r="M663" s="274"/>
      <c r="N663" s="251"/>
      <c r="O663" s="251"/>
      <c r="Q663" s="150"/>
      <c r="R663" s="150"/>
      <c r="S663" s="150"/>
      <c r="T663" s="150"/>
      <c r="U663" s="150"/>
      <c r="V663" s="150"/>
      <c r="W663" s="150"/>
      <c r="X663" s="150"/>
      <c r="Y663" s="150"/>
    </row>
    <row r="664" spans="2:25" ht="14.5" x14ac:dyDescent="0.35">
      <c r="B664" s="203">
        <f t="shared" si="33"/>
        <v>652</v>
      </c>
      <c r="C664" s="204">
        <f t="shared" si="30"/>
        <v>0</v>
      </c>
      <c r="D664" s="204" t="str">
        <f t="shared" si="31"/>
        <v/>
      </c>
      <c r="E664" s="203" t="str">
        <f t="shared" si="32"/>
        <v/>
      </c>
      <c r="F664" s="269"/>
      <c r="G664" s="206"/>
      <c r="H664" s="270"/>
      <c r="I664" s="271"/>
      <c r="J664" s="273"/>
      <c r="K664" s="266"/>
      <c r="L664" s="270"/>
      <c r="M664" s="274"/>
      <c r="N664" s="251"/>
      <c r="O664" s="251"/>
      <c r="Q664" s="150"/>
      <c r="R664" s="150"/>
      <c r="S664" s="150"/>
      <c r="T664" s="150"/>
      <c r="U664" s="150"/>
      <c r="V664" s="150"/>
      <c r="W664" s="150"/>
      <c r="X664" s="150"/>
      <c r="Y664" s="150"/>
    </row>
    <row r="665" spans="2:25" ht="14.5" x14ac:dyDescent="0.35">
      <c r="B665" s="203">
        <f t="shared" si="33"/>
        <v>653</v>
      </c>
      <c r="C665" s="204">
        <f t="shared" si="30"/>
        <v>0</v>
      </c>
      <c r="D665" s="204" t="str">
        <f t="shared" si="31"/>
        <v/>
      </c>
      <c r="E665" s="203" t="str">
        <f t="shared" si="32"/>
        <v/>
      </c>
      <c r="F665" s="269"/>
      <c r="G665" s="206"/>
      <c r="H665" s="270"/>
      <c r="I665" s="271"/>
      <c r="J665" s="273"/>
      <c r="K665" s="266"/>
      <c r="L665" s="272"/>
      <c r="M665" s="274"/>
      <c r="N665" s="251"/>
      <c r="O665" s="251"/>
      <c r="Q665" s="150"/>
      <c r="R665" s="150"/>
      <c r="S665" s="150"/>
      <c r="T665" s="150"/>
      <c r="U665" s="150"/>
      <c r="V665" s="150"/>
      <c r="W665" s="150"/>
      <c r="X665" s="150"/>
      <c r="Y665" s="150"/>
    </row>
    <row r="666" spans="2:25" ht="14.5" x14ac:dyDescent="0.35">
      <c r="B666" s="203">
        <f t="shared" si="33"/>
        <v>654</v>
      </c>
      <c r="C666" s="204">
        <f t="shared" si="30"/>
        <v>0</v>
      </c>
      <c r="D666" s="204" t="str">
        <f t="shared" si="31"/>
        <v/>
      </c>
      <c r="E666" s="203" t="str">
        <f t="shared" si="32"/>
        <v/>
      </c>
      <c r="F666" s="269"/>
      <c r="G666" s="206"/>
      <c r="H666" s="270"/>
      <c r="I666" s="271"/>
      <c r="J666" s="273"/>
      <c r="K666" s="266"/>
      <c r="L666" s="270"/>
      <c r="M666" s="274"/>
      <c r="N666" s="251"/>
      <c r="O666" s="251"/>
      <c r="Q666" s="150"/>
      <c r="R666" s="150"/>
      <c r="S666" s="150"/>
      <c r="T666" s="150"/>
      <c r="U666" s="150"/>
      <c r="V666" s="150"/>
      <c r="W666" s="150"/>
      <c r="X666" s="150"/>
      <c r="Y666" s="150"/>
    </row>
    <row r="667" spans="2:25" ht="14.5" x14ac:dyDescent="0.35">
      <c r="B667" s="203">
        <f t="shared" si="33"/>
        <v>655</v>
      </c>
      <c r="C667" s="204">
        <f t="shared" si="30"/>
        <v>0</v>
      </c>
      <c r="D667" s="204" t="str">
        <f t="shared" si="31"/>
        <v/>
      </c>
      <c r="E667" s="203" t="str">
        <f t="shared" si="32"/>
        <v/>
      </c>
      <c r="F667" s="269"/>
      <c r="G667" s="206"/>
      <c r="H667" s="270"/>
      <c r="I667" s="271"/>
      <c r="J667" s="273"/>
      <c r="K667" s="266"/>
      <c r="L667" s="270"/>
      <c r="M667" s="274"/>
      <c r="N667" s="251"/>
      <c r="O667" s="251"/>
      <c r="Q667" s="150"/>
      <c r="R667" s="150"/>
      <c r="S667" s="150"/>
      <c r="T667" s="150"/>
      <c r="U667" s="150"/>
      <c r="V667" s="150"/>
      <c r="W667" s="150"/>
      <c r="X667" s="150"/>
      <c r="Y667" s="150"/>
    </row>
    <row r="668" spans="2:25" ht="14.5" x14ac:dyDescent="0.35">
      <c r="B668" s="203">
        <f t="shared" si="33"/>
        <v>656</v>
      </c>
      <c r="C668" s="204">
        <f t="shared" si="30"/>
        <v>0</v>
      </c>
      <c r="D668" s="204" t="str">
        <f t="shared" si="31"/>
        <v/>
      </c>
      <c r="E668" s="203" t="str">
        <f t="shared" si="32"/>
        <v/>
      </c>
      <c r="F668" s="269"/>
      <c r="G668" s="206"/>
      <c r="H668" s="270"/>
      <c r="I668" s="271"/>
      <c r="J668" s="273"/>
      <c r="K668" s="266"/>
      <c r="L668" s="270"/>
      <c r="M668" s="274"/>
      <c r="N668" s="251"/>
      <c r="O668" s="251"/>
      <c r="Q668" s="150"/>
      <c r="R668" s="150"/>
      <c r="S668" s="150"/>
      <c r="T668" s="150"/>
      <c r="U668" s="150"/>
      <c r="V668" s="150"/>
      <c r="W668" s="150"/>
      <c r="X668" s="150"/>
      <c r="Y668" s="150"/>
    </row>
    <row r="669" spans="2:25" ht="14.5" x14ac:dyDescent="0.35">
      <c r="B669" s="203">
        <f t="shared" si="33"/>
        <v>657</v>
      </c>
      <c r="C669" s="204">
        <f t="shared" si="30"/>
        <v>0</v>
      </c>
      <c r="D669" s="204" t="str">
        <f t="shared" si="31"/>
        <v/>
      </c>
      <c r="E669" s="203" t="str">
        <f t="shared" si="32"/>
        <v/>
      </c>
      <c r="F669" s="269"/>
      <c r="G669" s="206"/>
      <c r="H669" s="270"/>
      <c r="I669" s="271"/>
      <c r="J669" s="273"/>
      <c r="K669" s="266"/>
      <c r="L669" s="270"/>
      <c r="M669" s="274"/>
      <c r="N669" s="251"/>
      <c r="O669" s="251"/>
      <c r="Q669" s="150"/>
      <c r="R669" s="150"/>
      <c r="S669" s="150"/>
      <c r="T669" s="150"/>
      <c r="U669" s="150"/>
      <c r="V669" s="150"/>
      <c r="W669" s="150"/>
      <c r="X669" s="150"/>
      <c r="Y669" s="150"/>
    </row>
    <row r="670" spans="2:25" ht="14.5" x14ac:dyDescent="0.35">
      <c r="B670" s="203">
        <f t="shared" si="33"/>
        <v>658</v>
      </c>
      <c r="C670" s="204">
        <f t="shared" si="30"/>
        <v>0</v>
      </c>
      <c r="D670" s="204" t="str">
        <f t="shared" si="31"/>
        <v/>
      </c>
      <c r="E670" s="203" t="str">
        <f t="shared" si="32"/>
        <v/>
      </c>
      <c r="F670" s="269"/>
      <c r="G670" s="206"/>
      <c r="H670" s="270"/>
      <c r="I670" s="271"/>
      <c r="J670" s="273"/>
      <c r="K670" s="266"/>
      <c r="L670" s="270"/>
      <c r="M670" s="274"/>
      <c r="N670" s="251"/>
      <c r="O670" s="251"/>
      <c r="Q670" s="150"/>
      <c r="R670" s="150"/>
      <c r="S670" s="150"/>
      <c r="T670" s="150"/>
      <c r="U670" s="150"/>
      <c r="V670" s="150"/>
      <c r="W670" s="150"/>
      <c r="X670" s="150"/>
      <c r="Y670" s="150"/>
    </row>
    <row r="671" spans="2:25" ht="14.5" x14ac:dyDescent="0.35">
      <c r="B671" s="203">
        <f t="shared" si="33"/>
        <v>659</v>
      </c>
      <c r="C671" s="204">
        <f t="shared" si="30"/>
        <v>0</v>
      </c>
      <c r="D671" s="204" t="str">
        <f t="shared" si="31"/>
        <v/>
      </c>
      <c r="E671" s="203" t="str">
        <f t="shared" si="32"/>
        <v/>
      </c>
      <c r="F671" s="269"/>
      <c r="G671" s="206"/>
      <c r="H671" s="270"/>
      <c r="I671" s="271"/>
      <c r="J671" s="273"/>
      <c r="K671" s="266"/>
      <c r="L671" s="270"/>
      <c r="M671" s="274"/>
      <c r="N671" s="251"/>
      <c r="O671" s="251"/>
      <c r="Q671" s="150"/>
      <c r="R671" s="150"/>
      <c r="S671" s="150"/>
      <c r="T671" s="150"/>
      <c r="U671" s="150"/>
      <c r="V671" s="150"/>
      <c r="W671" s="150"/>
      <c r="X671" s="150"/>
      <c r="Y671" s="150"/>
    </row>
    <row r="672" spans="2:25" ht="14.5" x14ac:dyDescent="0.35">
      <c r="B672" s="203">
        <f t="shared" si="33"/>
        <v>660</v>
      </c>
      <c r="C672" s="204">
        <f t="shared" si="30"/>
        <v>0</v>
      </c>
      <c r="D672" s="204" t="str">
        <f t="shared" si="31"/>
        <v/>
      </c>
      <c r="E672" s="203" t="str">
        <f t="shared" si="32"/>
        <v/>
      </c>
      <c r="F672" s="269"/>
      <c r="G672" s="206"/>
      <c r="H672" s="270"/>
      <c r="I672" s="271"/>
      <c r="J672" s="273"/>
      <c r="K672" s="266"/>
      <c r="L672" s="270"/>
      <c r="M672" s="274"/>
      <c r="N672" s="251"/>
      <c r="O672" s="251"/>
      <c r="Q672" s="150"/>
      <c r="R672" s="150"/>
      <c r="S672" s="150"/>
      <c r="T672" s="150"/>
      <c r="U672" s="150"/>
      <c r="V672" s="150"/>
      <c r="W672" s="150"/>
      <c r="X672" s="150"/>
      <c r="Y672" s="150"/>
    </row>
    <row r="673" spans="2:25" ht="14.5" x14ac:dyDescent="0.35">
      <c r="B673" s="203">
        <f t="shared" si="33"/>
        <v>661</v>
      </c>
      <c r="C673" s="204">
        <f t="shared" si="30"/>
        <v>0</v>
      </c>
      <c r="D673" s="204" t="str">
        <f t="shared" si="31"/>
        <v/>
      </c>
      <c r="E673" s="203" t="str">
        <f t="shared" si="32"/>
        <v/>
      </c>
      <c r="F673" s="269"/>
      <c r="G673" s="206"/>
      <c r="H673" s="270"/>
      <c r="I673" s="271"/>
      <c r="J673" s="273"/>
      <c r="K673" s="266"/>
      <c r="L673" s="270"/>
      <c r="M673" s="274"/>
      <c r="N673" s="251"/>
      <c r="O673" s="251"/>
      <c r="Q673" s="150"/>
      <c r="R673" s="150"/>
      <c r="S673" s="150"/>
      <c r="T673" s="150"/>
      <c r="U673" s="150"/>
      <c r="V673" s="150"/>
      <c r="W673" s="150"/>
      <c r="X673" s="150"/>
      <c r="Y673" s="150"/>
    </row>
    <row r="674" spans="2:25" ht="14.5" x14ac:dyDescent="0.35">
      <c r="B674" s="203">
        <f t="shared" si="33"/>
        <v>662</v>
      </c>
      <c r="C674" s="204">
        <f t="shared" si="30"/>
        <v>0</v>
      </c>
      <c r="D674" s="204" t="str">
        <f t="shared" si="31"/>
        <v/>
      </c>
      <c r="E674" s="203" t="str">
        <f t="shared" si="32"/>
        <v/>
      </c>
      <c r="F674" s="269"/>
      <c r="G674" s="206"/>
      <c r="H674" s="270"/>
      <c r="I674" s="271"/>
      <c r="J674" s="273"/>
      <c r="K674" s="266"/>
      <c r="L674" s="272"/>
      <c r="M674" s="274"/>
      <c r="N674" s="251"/>
      <c r="O674" s="251"/>
      <c r="Q674" s="150"/>
      <c r="R674" s="150"/>
      <c r="S674" s="150"/>
      <c r="T674" s="150"/>
      <c r="U674" s="150"/>
      <c r="V674" s="150"/>
      <c r="W674" s="150"/>
      <c r="X674" s="150"/>
      <c r="Y674" s="150"/>
    </row>
    <row r="675" spans="2:25" ht="14.5" x14ac:dyDescent="0.35">
      <c r="B675" s="203">
        <f t="shared" si="33"/>
        <v>663</v>
      </c>
      <c r="C675" s="204">
        <f t="shared" si="30"/>
        <v>0</v>
      </c>
      <c r="D675" s="204" t="str">
        <f t="shared" si="31"/>
        <v/>
      </c>
      <c r="E675" s="203" t="str">
        <f t="shared" si="32"/>
        <v/>
      </c>
      <c r="F675" s="269"/>
      <c r="G675" s="206"/>
      <c r="H675" s="270"/>
      <c r="I675" s="271"/>
      <c r="J675" s="273"/>
      <c r="K675" s="266"/>
      <c r="L675" s="272"/>
      <c r="M675" s="274"/>
      <c r="N675" s="251"/>
      <c r="O675" s="251"/>
      <c r="Q675" s="150"/>
      <c r="R675" s="150"/>
      <c r="S675" s="150"/>
      <c r="T675" s="150"/>
      <c r="U675" s="150"/>
      <c r="V675" s="150"/>
      <c r="W675" s="150"/>
      <c r="X675" s="150"/>
      <c r="Y675" s="150"/>
    </row>
    <row r="676" spans="2:25" ht="14.5" x14ac:dyDescent="0.35">
      <c r="B676" s="203">
        <f t="shared" si="33"/>
        <v>664</v>
      </c>
      <c r="C676" s="204">
        <f t="shared" si="30"/>
        <v>0</v>
      </c>
      <c r="D676" s="204" t="str">
        <f t="shared" si="31"/>
        <v/>
      </c>
      <c r="E676" s="203" t="str">
        <f t="shared" si="32"/>
        <v/>
      </c>
      <c r="F676" s="269"/>
      <c r="G676" s="206"/>
      <c r="H676" s="270"/>
      <c r="I676" s="271"/>
      <c r="J676" s="273"/>
      <c r="K676" s="266"/>
      <c r="L676" s="270"/>
      <c r="M676" s="274"/>
      <c r="N676" s="251"/>
      <c r="O676" s="251"/>
      <c r="Q676" s="150"/>
      <c r="R676" s="150"/>
      <c r="S676" s="150"/>
      <c r="T676" s="150"/>
      <c r="U676" s="150"/>
      <c r="V676" s="150"/>
      <c r="W676" s="150"/>
      <c r="X676" s="150"/>
      <c r="Y676" s="150"/>
    </row>
    <row r="677" spans="2:25" ht="14.5" x14ac:dyDescent="0.35">
      <c r="B677" s="203">
        <f t="shared" si="33"/>
        <v>665</v>
      </c>
      <c r="C677" s="204">
        <f t="shared" si="30"/>
        <v>0</v>
      </c>
      <c r="D677" s="204" t="str">
        <f t="shared" si="31"/>
        <v/>
      </c>
      <c r="E677" s="203" t="str">
        <f t="shared" si="32"/>
        <v/>
      </c>
      <c r="F677" s="269"/>
      <c r="G677" s="206"/>
      <c r="H677" s="270"/>
      <c r="I677" s="271"/>
      <c r="J677" s="273"/>
      <c r="K677" s="266"/>
      <c r="L677" s="270"/>
      <c r="M677" s="274"/>
      <c r="N677" s="251"/>
      <c r="O677" s="251"/>
      <c r="Q677" s="150"/>
      <c r="R677" s="150"/>
      <c r="S677" s="150"/>
      <c r="T677" s="150"/>
      <c r="U677" s="150"/>
      <c r="V677" s="150"/>
      <c r="W677" s="150"/>
      <c r="X677" s="150"/>
      <c r="Y677" s="150"/>
    </row>
    <row r="678" spans="2:25" ht="14.5" x14ac:dyDescent="0.35">
      <c r="B678" s="203">
        <f t="shared" si="33"/>
        <v>666</v>
      </c>
      <c r="C678" s="204">
        <f t="shared" si="30"/>
        <v>0</v>
      </c>
      <c r="D678" s="204" t="str">
        <f t="shared" si="31"/>
        <v/>
      </c>
      <c r="E678" s="203" t="str">
        <f t="shared" si="32"/>
        <v/>
      </c>
      <c r="F678" s="269"/>
      <c r="G678" s="206"/>
      <c r="H678" s="270"/>
      <c r="I678" s="271"/>
      <c r="J678" s="273"/>
      <c r="K678" s="266"/>
      <c r="L678" s="270"/>
      <c r="M678" s="274"/>
      <c r="N678" s="251"/>
      <c r="O678" s="251"/>
      <c r="Q678" s="150"/>
      <c r="R678" s="150"/>
      <c r="S678" s="150"/>
      <c r="T678" s="150"/>
      <c r="U678" s="150"/>
      <c r="V678" s="150"/>
      <c r="W678" s="150"/>
      <c r="X678" s="150"/>
      <c r="Y678" s="150"/>
    </row>
    <row r="679" spans="2:25" ht="14.5" x14ac:dyDescent="0.35">
      <c r="B679" s="203">
        <f t="shared" si="33"/>
        <v>667</v>
      </c>
      <c r="C679" s="204">
        <f t="shared" si="30"/>
        <v>0</v>
      </c>
      <c r="D679" s="204" t="str">
        <f t="shared" si="31"/>
        <v/>
      </c>
      <c r="E679" s="203" t="str">
        <f t="shared" si="32"/>
        <v/>
      </c>
      <c r="F679" s="269"/>
      <c r="G679" s="206"/>
      <c r="H679" s="270"/>
      <c r="I679" s="271"/>
      <c r="J679" s="273"/>
      <c r="K679" s="266"/>
      <c r="L679" s="270"/>
      <c r="M679" s="274"/>
      <c r="N679" s="251"/>
      <c r="O679" s="251"/>
      <c r="Q679" s="150"/>
      <c r="R679" s="150"/>
      <c r="S679" s="150"/>
      <c r="T679" s="150"/>
      <c r="U679" s="150"/>
      <c r="V679" s="150"/>
      <c r="W679" s="150"/>
      <c r="X679" s="150"/>
      <c r="Y679" s="150"/>
    </row>
    <row r="680" spans="2:25" ht="14.5" x14ac:dyDescent="0.35">
      <c r="B680" s="203">
        <f t="shared" si="33"/>
        <v>668</v>
      </c>
      <c r="C680" s="204">
        <f t="shared" si="30"/>
        <v>0</v>
      </c>
      <c r="D680" s="204" t="str">
        <f t="shared" si="31"/>
        <v/>
      </c>
      <c r="E680" s="203" t="str">
        <f t="shared" si="32"/>
        <v/>
      </c>
      <c r="F680" s="269"/>
      <c r="G680" s="206"/>
      <c r="H680" s="270"/>
      <c r="I680" s="271"/>
      <c r="J680" s="273"/>
      <c r="K680" s="266"/>
      <c r="L680" s="270"/>
      <c r="M680" s="274"/>
      <c r="N680" s="251"/>
      <c r="O680" s="251"/>
      <c r="Q680" s="150"/>
      <c r="R680" s="150"/>
      <c r="S680" s="150"/>
      <c r="T680" s="150"/>
      <c r="U680" s="150"/>
      <c r="V680" s="150"/>
      <c r="W680" s="150"/>
      <c r="X680" s="150"/>
      <c r="Y680" s="150"/>
    </row>
    <row r="681" spans="2:25" ht="14.5" x14ac:dyDescent="0.35">
      <c r="B681" s="203">
        <f t="shared" si="33"/>
        <v>669</v>
      </c>
      <c r="C681" s="204">
        <f t="shared" si="30"/>
        <v>0</v>
      </c>
      <c r="D681" s="204" t="str">
        <f t="shared" si="31"/>
        <v/>
      </c>
      <c r="E681" s="203" t="str">
        <f t="shared" si="32"/>
        <v/>
      </c>
      <c r="F681" s="269"/>
      <c r="G681" s="206"/>
      <c r="H681" s="270"/>
      <c r="I681" s="271"/>
      <c r="J681" s="273"/>
      <c r="K681" s="266"/>
      <c r="L681" s="272"/>
      <c r="M681" s="274"/>
      <c r="N681" s="251"/>
      <c r="O681" s="251"/>
      <c r="Q681" s="150"/>
      <c r="R681" s="150"/>
      <c r="S681" s="150"/>
      <c r="T681" s="150"/>
      <c r="U681" s="150"/>
      <c r="V681" s="150"/>
      <c r="W681" s="150"/>
      <c r="X681" s="150"/>
      <c r="Y681" s="150"/>
    </row>
    <row r="682" spans="2:25" ht="14.5" x14ac:dyDescent="0.35">
      <c r="B682" s="203">
        <f t="shared" si="33"/>
        <v>670</v>
      </c>
      <c r="C682" s="204">
        <f t="shared" si="30"/>
        <v>0</v>
      </c>
      <c r="D682" s="204" t="str">
        <f t="shared" si="31"/>
        <v/>
      </c>
      <c r="E682" s="203" t="str">
        <f t="shared" si="32"/>
        <v/>
      </c>
      <c r="F682" s="269"/>
      <c r="G682" s="206"/>
      <c r="H682" s="270"/>
      <c r="I682" s="271"/>
      <c r="J682" s="273"/>
      <c r="K682" s="266"/>
      <c r="L682" s="270"/>
      <c r="M682" s="274"/>
      <c r="N682" s="251"/>
      <c r="O682" s="251"/>
      <c r="Q682" s="150"/>
      <c r="R682" s="150"/>
      <c r="S682" s="150"/>
      <c r="T682" s="150"/>
      <c r="U682" s="150"/>
      <c r="V682" s="150"/>
      <c r="W682" s="150"/>
      <c r="X682" s="150"/>
      <c r="Y682" s="150"/>
    </row>
    <row r="683" spans="2:25" ht="14.5" x14ac:dyDescent="0.35">
      <c r="B683" s="203">
        <f t="shared" si="33"/>
        <v>671</v>
      </c>
      <c r="C683" s="204">
        <f t="shared" si="30"/>
        <v>0</v>
      </c>
      <c r="D683" s="204" t="str">
        <f t="shared" si="31"/>
        <v/>
      </c>
      <c r="E683" s="203" t="str">
        <f t="shared" si="32"/>
        <v/>
      </c>
      <c r="F683" s="269"/>
      <c r="G683" s="206"/>
      <c r="H683" s="270"/>
      <c r="I683" s="271"/>
      <c r="J683" s="273"/>
      <c r="K683" s="266"/>
      <c r="L683" s="270"/>
      <c r="M683" s="274"/>
      <c r="N683" s="251"/>
      <c r="O683" s="251"/>
      <c r="Q683" s="150"/>
      <c r="R683" s="150"/>
      <c r="S683" s="150"/>
      <c r="T683" s="150"/>
      <c r="U683" s="150"/>
      <c r="V683" s="150"/>
      <c r="W683" s="150"/>
      <c r="X683" s="150"/>
      <c r="Y683" s="150"/>
    </row>
    <row r="684" spans="2:25" ht="14.5" x14ac:dyDescent="0.35">
      <c r="B684" s="203">
        <f t="shared" si="33"/>
        <v>672</v>
      </c>
      <c r="C684" s="204">
        <f t="shared" si="30"/>
        <v>0</v>
      </c>
      <c r="D684" s="204" t="str">
        <f t="shared" si="31"/>
        <v/>
      </c>
      <c r="E684" s="203" t="str">
        <f t="shared" si="32"/>
        <v/>
      </c>
      <c r="F684" s="269"/>
      <c r="G684" s="206"/>
      <c r="H684" s="270"/>
      <c r="I684" s="271"/>
      <c r="J684" s="273"/>
      <c r="K684" s="266"/>
      <c r="L684" s="270"/>
      <c r="M684" s="274"/>
      <c r="N684" s="251"/>
      <c r="O684" s="251"/>
      <c r="Q684" s="150"/>
      <c r="R684" s="150"/>
      <c r="S684" s="150"/>
      <c r="T684" s="150"/>
      <c r="U684" s="150"/>
      <c r="V684" s="150"/>
      <c r="W684" s="150"/>
      <c r="X684" s="150"/>
      <c r="Y684" s="150"/>
    </row>
    <row r="685" spans="2:25" ht="14.5" x14ac:dyDescent="0.35">
      <c r="B685" s="203">
        <f t="shared" si="33"/>
        <v>673</v>
      </c>
      <c r="C685" s="204">
        <f t="shared" si="30"/>
        <v>0</v>
      </c>
      <c r="D685" s="204" t="str">
        <f t="shared" si="31"/>
        <v/>
      </c>
      <c r="E685" s="203" t="str">
        <f t="shared" si="32"/>
        <v/>
      </c>
      <c r="F685" s="269"/>
      <c r="G685" s="206"/>
      <c r="H685" s="270"/>
      <c r="I685" s="271"/>
      <c r="J685" s="273"/>
      <c r="K685" s="266"/>
      <c r="L685" s="270"/>
      <c r="M685" s="274"/>
      <c r="N685" s="251"/>
      <c r="O685" s="251"/>
      <c r="Q685" s="150"/>
      <c r="R685" s="150"/>
      <c r="S685" s="150"/>
      <c r="T685" s="150"/>
      <c r="U685" s="150"/>
      <c r="V685" s="150"/>
      <c r="W685" s="150"/>
      <c r="X685" s="150"/>
      <c r="Y685" s="150"/>
    </row>
    <row r="686" spans="2:25" ht="14.5" x14ac:dyDescent="0.35">
      <c r="B686" s="203">
        <f t="shared" si="33"/>
        <v>674</v>
      </c>
      <c r="C686" s="204">
        <f t="shared" si="30"/>
        <v>0</v>
      </c>
      <c r="D686" s="204" t="str">
        <f t="shared" si="31"/>
        <v/>
      </c>
      <c r="E686" s="203" t="str">
        <f t="shared" si="32"/>
        <v/>
      </c>
      <c r="F686" s="269"/>
      <c r="G686" s="206"/>
      <c r="H686" s="270"/>
      <c r="I686" s="271"/>
      <c r="J686" s="273"/>
      <c r="K686" s="266"/>
      <c r="L686" s="270"/>
      <c r="M686" s="274"/>
      <c r="N686" s="251"/>
      <c r="O686" s="251"/>
      <c r="Q686" s="150"/>
      <c r="R686" s="150"/>
      <c r="S686" s="150"/>
      <c r="T686" s="150"/>
      <c r="U686" s="150"/>
      <c r="V686" s="150"/>
      <c r="W686" s="150"/>
      <c r="X686" s="150"/>
      <c r="Y686" s="150"/>
    </row>
    <row r="687" spans="2:25" ht="14.5" x14ac:dyDescent="0.35">
      <c r="B687" s="203">
        <f t="shared" si="33"/>
        <v>675</v>
      </c>
      <c r="C687" s="204">
        <f t="shared" si="30"/>
        <v>0</v>
      </c>
      <c r="D687" s="204" t="str">
        <f t="shared" si="31"/>
        <v/>
      </c>
      <c r="E687" s="203" t="str">
        <f t="shared" si="32"/>
        <v/>
      </c>
      <c r="F687" s="269"/>
      <c r="G687" s="206"/>
      <c r="H687" s="270"/>
      <c r="I687" s="271"/>
      <c r="J687" s="273"/>
      <c r="K687" s="266"/>
      <c r="L687" s="270"/>
      <c r="M687" s="274"/>
      <c r="N687" s="251"/>
      <c r="O687" s="251"/>
      <c r="Q687" s="150"/>
      <c r="R687" s="150"/>
      <c r="S687" s="150"/>
      <c r="T687" s="150"/>
      <c r="U687" s="150"/>
      <c r="V687" s="150"/>
      <c r="W687" s="150"/>
      <c r="X687" s="150"/>
      <c r="Y687" s="150"/>
    </row>
    <row r="688" spans="2:25" ht="14.5" x14ac:dyDescent="0.35">
      <c r="B688" s="203">
        <f t="shared" si="33"/>
        <v>676</v>
      </c>
      <c r="C688" s="204">
        <f t="shared" si="30"/>
        <v>0</v>
      </c>
      <c r="D688" s="204" t="str">
        <f t="shared" si="31"/>
        <v/>
      </c>
      <c r="E688" s="203" t="str">
        <f t="shared" si="32"/>
        <v/>
      </c>
      <c r="F688" s="269"/>
      <c r="G688" s="206"/>
      <c r="H688" s="270"/>
      <c r="I688" s="271"/>
      <c r="J688" s="273"/>
      <c r="K688" s="266"/>
      <c r="L688" s="270"/>
      <c r="M688" s="274"/>
      <c r="N688" s="251"/>
      <c r="O688" s="251"/>
      <c r="Q688" s="150"/>
      <c r="R688" s="150"/>
      <c r="S688" s="150"/>
      <c r="T688" s="150"/>
      <c r="U688" s="150"/>
      <c r="V688" s="150"/>
      <c r="W688" s="150"/>
      <c r="X688" s="150"/>
      <c r="Y688" s="150"/>
    </row>
    <row r="689" spans="2:25" ht="14.5" x14ac:dyDescent="0.35">
      <c r="B689" s="203">
        <f t="shared" si="33"/>
        <v>677</v>
      </c>
      <c r="C689" s="204">
        <f t="shared" si="30"/>
        <v>0</v>
      </c>
      <c r="D689" s="204" t="str">
        <f t="shared" si="31"/>
        <v/>
      </c>
      <c r="E689" s="203" t="str">
        <f t="shared" si="32"/>
        <v/>
      </c>
      <c r="F689" s="269"/>
      <c r="G689" s="206"/>
      <c r="H689" s="270"/>
      <c r="I689" s="271"/>
      <c r="J689" s="273"/>
      <c r="K689" s="266"/>
      <c r="L689" s="270"/>
      <c r="M689" s="274"/>
      <c r="N689" s="251"/>
      <c r="O689" s="251"/>
      <c r="Q689" s="150"/>
      <c r="R689" s="150"/>
      <c r="S689" s="150"/>
      <c r="T689" s="150"/>
      <c r="U689" s="150"/>
      <c r="V689" s="150"/>
      <c r="W689" s="150"/>
      <c r="X689" s="150"/>
      <c r="Y689" s="150"/>
    </row>
    <row r="690" spans="2:25" ht="14.5" x14ac:dyDescent="0.35">
      <c r="B690" s="203">
        <f t="shared" si="33"/>
        <v>678</v>
      </c>
      <c r="C690" s="204">
        <f t="shared" si="30"/>
        <v>0</v>
      </c>
      <c r="D690" s="204" t="str">
        <f t="shared" si="31"/>
        <v/>
      </c>
      <c r="E690" s="203" t="str">
        <f t="shared" si="32"/>
        <v/>
      </c>
      <c r="F690" s="269"/>
      <c r="G690" s="206"/>
      <c r="H690" s="270"/>
      <c r="I690" s="151"/>
      <c r="J690" s="271"/>
      <c r="K690" s="266"/>
      <c r="L690" s="62"/>
      <c r="M690" s="274"/>
      <c r="N690" s="251"/>
      <c r="O690" s="251"/>
      <c r="Q690" s="150"/>
      <c r="R690" s="150"/>
      <c r="S690" s="150"/>
      <c r="T690" s="150"/>
      <c r="U690" s="150"/>
      <c r="V690" s="150"/>
      <c r="W690" s="150"/>
      <c r="X690" s="150"/>
      <c r="Y690" s="150"/>
    </row>
    <row r="691" spans="2:25" ht="14.5" x14ac:dyDescent="0.35">
      <c r="B691" s="203">
        <f t="shared" si="33"/>
        <v>679</v>
      </c>
      <c r="C691" s="204">
        <f t="shared" si="30"/>
        <v>0</v>
      </c>
      <c r="D691" s="204" t="str">
        <f t="shared" si="31"/>
        <v/>
      </c>
      <c r="E691" s="203" t="str">
        <f t="shared" si="32"/>
        <v/>
      </c>
      <c r="F691" s="269"/>
      <c r="G691" s="206"/>
      <c r="H691" s="270"/>
      <c r="I691" s="271"/>
      <c r="J691" s="273"/>
      <c r="K691" s="266"/>
      <c r="L691" s="270"/>
      <c r="M691" s="274"/>
      <c r="N691" s="251"/>
      <c r="O691" s="251"/>
      <c r="Q691" s="150"/>
      <c r="R691" s="150"/>
      <c r="S691" s="150"/>
      <c r="T691" s="150"/>
      <c r="U691" s="150"/>
      <c r="V691" s="150"/>
      <c r="W691" s="150"/>
      <c r="X691" s="150"/>
      <c r="Y691" s="150"/>
    </row>
    <row r="692" spans="2:25" ht="14.5" x14ac:dyDescent="0.35">
      <c r="B692" s="203">
        <f t="shared" si="33"/>
        <v>680</v>
      </c>
      <c r="C692" s="204">
        <f t="shared" si="30"/>
        <v>0</v>
      </c>
      <c r="D692" s="204" t="str">
        <f t="shared" si="31"/>
        <v/>
      </c>
      <c r="E692" s="203" t="str">
        <f t="shared" si="32"/>
        <v/>
      </c>
      <c r="F692" s="269"/>
      <c r="G692" s="206"/>
      <c r="H692" s="270"/>
      <c r="I692" s="271"/>
      <c r="J692" s="273"/>
      <c r="K692" s="266"/>
      <c r="L692" s="270"/>
      <c r="M692" s="274"/>
      <c r="N692" s="251"/>
      <c r="O692" s="251"/>
      <c r="Q692" s="150"/>
      <c r="R692" s="150"/>
      <c r="S692" s="150"/>
      <c r="T692" s="150"/>
      <c r="U692" s="150"/>
      <c r="V692" s="150"/>
      <c r="W692" s="150"/>
      <c r="X692" s="150"/>
      <c r="Y692" s="150"/>
    </row>
    <row r="693" spans="2:25" ht="14.5" x14ac:dyDescent="0.35">
      <c r="B693" s="203">
        <f t="shared" si="33"/>
        <v>681</v>
      </c>
      <c r="C693" s="204">
        <f t="shared" si="30"/>
        <v>0</v>
      </c>
      <c r="D693" s="204" t="str">
        <f t="shared" si="31"/>
        <v/>
      </c>
      <c r="E693" s="203" t="str">
        <f t="shared" si="32"/>
        <v/>
      </c>
      <c r="F693" s="269"/>
      <c r="G693" s="206"/>
      <c r="H693" s="270"/>
      <c r="I693" s="271"/>
      <c r="J693" s="273"/>
      <c r="K693" s="266"/>
      <c r="L693" s="270"/>
      <c r="M693" s="274"/>
      <c r="N693" s="251"/>
      <c r="O693" s="251"/>
      <c r="Q693" s="150"/>
      <c r="R693" s="150"/>
      <c r="S693" s="150"/>
      <c r="T693" s="150"/>
      <c r="U693" s="150"/>
      <c r="V693" s="150"/>
      <c r="W693" s="150"/>
      <c r="X693" s="150"/>
      <c r="Y693" s="150"/>
    </row>
    <row r="694" spans="2:25" ht="14.5" x14ac:dyDescent="0.35">
      <c r="B694" s="203">
        <f t="shared" si="33"/>
        <v>682</v>
      </c>
      <c r="C694" s="204">
        <f t="shared" si="30"/>
        <v>0</v>
      </c>
      <c r="D694" s="204" t="str">
        <f t="shared" si="31"/>
        <v/>
      </c>
      <c r="E694" s="203" t="str">
        <f t="shared" si="32"/>
        <v/>
      </c>
      <c r="F694" s="269"/>
      <c r="G694" s="206"/>
      <c r="H694" s="270"/>
      <c r="I694" s="271"/>
      <c r="J694" s="273"/>
      <c r="K694" s="266"/>
      <c r="L694" s="270"/>
      <c r="M694" s="274"/>
      <c r="N694" s="251"/>
      <c r="O694" s="251"/>
      <c r="Q694" s="150"/>
      <c r="R694" s="150"/>
      <c r="S694" s="150"/>
      <c r="T694" s="150"/>
      <c r="U694" s="150"/>
      <c r="V694" s="150"/>
      <c r="W694" s="150"/>
      <c r="X694" s="150"/>
      <c r="Y694" s="150"/>
    </row>
    <row r="695" spans="2:25" ht="14.5" x14ac:dyDescent="0.35">
      <c r="B695" s="203">
        <f t="shared" si="33"/>
        <v>683</v>
      </c>
      <c r="C695" s="204">
        <f t="shared" si="30"/>
        <v>0</v>
      </c>
      <c r="D695" s="204" t="str">
        <f t="shared" si="31"/>
        <v/>
      </c>
      <c r="E695" s="203" t="str">
        <f t="shared" si="32"/>
        <v/>
      </c>
      <c r="F695" s="269"/>
      <c r="G695" s="206"/>
      <c r="H695" s="270"/>
      <c r="I695" s="271"/>
      <c r="J695" s="273"/>
      <c r="K695" s="266"/>
      <c r="L695" s="270"/>
      <c r="M695" s="274"/>
      <c r="N695" s="251"/>
      <c r="O695" s="251"/>
      <c r="Q695" s="150"/>
      <c r="R695" s="150"/>
      <c r="S695" s="150"/>
      <c r="T695" s="150"/>
      <c r="U695" s="150"/>
      <c r="V695" s="150"/>
      <c r="W695" s="150"/>
      <c r="X695" s="150"/>
      <c r="Y695" s="150"/>
    </row>
    <row r="696" spans="2:25" ht="14.5" x14ac:dyDescent="0.35">
      <c r="B696" s="203">
        <f t="shared" si="33"/>
        <v>684</v>
      </c>
      <c r="C696" s="204">
        <f t="shared" si="30"/>
        <v>0</v>
      </c>
      <c r="D696" s="204" t="str">
        <f t="shared" si="31"/>
        <v/>
      </c>
      <c r="E696" s="203" t="str">
        <f t="shared" si="32"/>
        <v/>
      </c>
      <c r="F696" s="269"/>
      <c r="G696" s="206"/>
      <c r="H696" s="270"/>
      <c r="I696" s="271"/>
      <c r="J696" s="273"/>
      <c r="K696" s="266"/>
      <c r="L696" s="272"/>
      <c r="M696" s="274"/>
      <c r="N696" s="251"/>
      <c r="O696" s="251"/>
      <c r="Q696" s="150"/>
      <c r="R696" s="150"/>
      <c r="S696" s="150"/>
      <c r="T696" s="150"/>
      <c r="U696" s="150"/>
      <c r="V696" s="150"/>
      <c r="W696" s="150"/>
      <c r="X696" s="150"/>
      <c r="Y696" s="150"/>
    </row>
    <row r="697" spans="2:25" ht="14.5" x14ac:dyDescent="0.35">
      <c r="B697" s="203">
        <f t="shared" si="33"/>
        <v>685</v>
      </c>
      <c r="C697" s="204">
        <f t="shared" si="30"/>
        <v>0</v>
      </c>
      <c r="D697" s="204" t="str">
        <f t="shared" si="31"/>
        <v/>
      </c>
      <c r="E697" s="203" t="str">
        <f t="shared" si="32"/>
        <v/>
      </c>
      <c r="F697" s="269"/>
      <c r="G697" s="206"/>
      <c r="H697" s="270"/>
      <c r="I697" s="271"/>
      <c r="J697" s="273"/>
      <c r="K697" s="266"/>
      <c r="L697" s="272"/>
      <c r="M697" s="274"/>
      <c r="N697" s="251"/>
      <c r="O697" s="251"/>
      <c r="Q697" s="150"/>
      <c r="R697" s="150"/>
      <c r="S697" s="150"/>
      <c r="T697" s="150"/>
      <c r="U697" s="150"/>
      <c r="V697" s="150"/>
      <c r="W697" s="150"/>
      <c r="X697" s="150"/>
      <c r="Y697" s="150"/>
    </row>
    <row r="698" spans="2:25" ht="14.5" x14ac:dyDescent="0.35">
      <c r="B698" s="203">
        <f t="shared" si="33"/>
        <v>686</v>
      </c>
      <c r="C698" s="204">
        <f t="shared" si="30"/>
        <v>0</v>
      </c>
      <c r="D698" s="204" t="str">
        <f t="shared" si="31"/>
        <v/>
      </c>
      <c r="E698" s="203" t="str">
        <f t="shared" si="32"/>
        <v/>
      </c>
      <c r="F698" s="269"/>
      <c r="G698" s="206"/>
      <c r="H698" s="270"/>
      <c r="I698" s="271"/>
      <c r="J698" s="273"/>
      <c r="K698" s="266"/>
      <c r="L698" s="270"/>
      <c r="M698" s="274"/>
      <c r="N698" s="251"/>
      <c r="O698" s="251"/>
      <c r="Q698" s="150"/>
      <c r="R698" s="150"/>
      <c r="S698" s="150"/>
      <c r="T698" s="150"/>
      <c r="U698" s="150"/>
      <c r="V698" s="150"/>
      <c r="W698" s="150"/>
      <c r="X698" s="150"/>
      <c r="Y698" s="150"/>
    </row>
    <row r="699" spans="2:25" ht="14.5" x14ac:dyDescent="0.35">
      <c r="B699" s="203">
        <f t="shared" si="33"/>
        <v>687</v>
      </c>
      <c r="C699" s="204">
        <f t="shared" si="30"/>
        <v>0</v>
      </c>
      <c r="D699" s="204" t="str">
        <f t="shared" si="31"/>
        <v/>
      </c>
      <c r="E699" s="203" t="str">
        <f t="shared" si="32"/>
        <v/>
      </c>
      <c r="F699" s="269"/>
      <c r="G699" s="206"/>
      <c r="H699" s="270"/>
      <c r="I699" s="271"/>
      <c r="J699" s="273"/>
      <c r="K699" s="266"/>
      <c r="L699" s="270"/>
      <c r="M699" s="274"/>
      <c r="N699" s="251"/>
      <c r="O699" s="251"/>
      <c r="Q699" s="150"/>
      <c r="R699" s="150"/>
      <c r="S699" s="150"/>
      <c r="T699" s="150"/>
      <c r="U699" s="150"/>
      <c r="V699" s="150"/>
      <c r="W699" s="150"/>
      <c r="X699" s="150"/>
      <c r="Y699" s="150"/>
    </row>
    <row r="700" spans="2:25" ht="14.5" x14ac:dyDescent="0.35">
      <c r="B700" s="203">
        <f t="shared" si="33"/>
        <v>688</v>
      </c>
      <c r="C700" s="204">
        <f t="shared" si="30"/>
        <v>0</v>
      </c>
      <c r="D700" s="204" t="str">
        <f t="shared" si="31"/>
        <v/>
      </c>
      <c r="E700" s="203" t="str">
        <f t="shared" si="32"/>
        <v/>
      </c>
      <c r="F700" s="269"/>
      <c r="G700" s="206"/>
      <c r="H700" s="270"/>
      <c r="I700" s="271"/>
      <c r="J700" s="273"/>
      <c r="K700" s="266"/>
      <c r="L700" s="270"/>
      <c r="M700" s="274"/>
      <c r="N700" s="251"/>
      <c r="O700" s="251"/>
      <c r="Q700" s="150"/>
      <c r="R700" s="150"/>
      <c r="S700" s="150"/>
      <c r="T700" s="150"/>
      <c r="U700" s="150"/>
      <c r="V700" s="150"/>
      <c r="W700" s="150"/>
      <c r="X700" s="150"/>
      <c r="Y700" s="150"/>
    </row>
    <row r="701" spans="2:25" ht="14.5" x14ac:dyDescent="0.35">
      <c r="B701" s="203">
        <f t="shared" si="33"/>
        <v>689</v>
      </c>
      <c r="C701" s="204">
        <f t="shared" si="30"/>
        <v>0</v>
      </c>
      <c r="D701" s="204" t="str">
        <f t="shared" si="31"/>
        <v/>
      </c>
      <c r="E701" s="203" t="str">
        <f t="shared" si="32"/>
        <v/>
      </c>
      <c r="F701" s="269"/>
      <c r="G701" s="206"/>
      <c r="H701" s="270"/>
      <c r="I701" s="275"/>
      <c r="J701" s="273"/>
      <c r="K701" s="266"/>
      <c r="L701" s="276"/>
      <c r="M701" s="274"/>
      <c r="N701" s="251"/>
      <c r="O701" s="251"/>
      <c r="Q701" s="150"/>
      <c r="R701" s="150"/>
      <c r="S701" s="150"/>
      <c r="T701" s="150"/>
      <c r="U701" s="150"/>
      <c r="V701" s="150"/>
      <c r="W701" s="150"/>
      <c r="X701" s="150"/>
      <c r="Y701" s="150"/>
    </row>
    <row r="702" spans="2:25" ht="14.5" x14ac:dyDescent="0.35">
      <c r="B702" s="203">
        <f t="shared" si="33"/>
        <v>690</v>
      </c>
      <c r="C702" s="204">
        <f t="shared" si="30"/>
        <v>0</v>
      </c>
      <c r="D702" s="204" t="str">
        <f t="shared" si="31"/>
        <v/>
      </c>
      <c r="E702" s="203" t="str">
        <f t="shared" si="32"/>
        <v/>
      </c>
      <c r="F702" s="228"/>
      <c r="G702" s="206"/>
      <c r="H702" s="206"/>
      <c r="I702" s="242"/>
      <c r="J702" s="273"/>
      <c r="K702" s="266"/>
      <c r="L702" s="258"/>
      <c r="M702" s="274"/>
      <c r="N702" s="251"/>
      <c r="O702" s="251"/>
      <c r="Q702" s="150"/>
      <c r="R702" s="150"/>
      <c r="S702" s="150"/>
      <c r="T702" s="150"/>
      <c r="U702" s="150"/>
      <c r="V702" s="150"/>
      <c r="W702" s="150"/>
      <c r="X702" s="150"/>
      <c r="Y702" s="150"/>
    </row>
    <row r="703" spans="2:25" ht="14.5" x14ac:dyDescent="0.35">
      <c r="B703" s="203">
        <f t="shared" si="33"/>
        <v>691</v>
      </c>
      <c r="C703" s="204">
        <f t="shared" si="30"/>
        <v>0</v>
      </c>
      <c r="D703" s="204" t="str">
        <f t="shared" si="31"/>
        <v/>
      </c>
      <c r="E703" s="203" t="str">
        <f t="shared" si="32"/>
        <v/>
      </c>
      <c r="F703" s="228"/>
      <c r="G703" s="206"/>
      <c r="H703" s="206"/>
      <c r="I703" s="242"/>
      <c r="J703" s="273"/>
      <c r="K703" s="266"/>
      <c r="L703" s="258"/>
      <c r="M703" s="274"/>
      <c r="N703" s="251"/>
      <c r="O703" s="251"/>
      <c r="Q703" s="150"/>
      <c r="R703" s="150"/>
      <c r="S703" s="150"/>
      <c r="T703" s="150"/>
      <c r="U703" s="150"/>
      <c r="V703" s="150"/>
      <c r="W703" s="150"/>
      <c r="X703" s="150"/>
      <c r="Y703" s="150"/>
    </row>
    <row r="704" spans="2:25" ht="14.5" x14ac:dyDescent="0.35">
      <c r="B704" s="203">
        <f t="shared" si="33"/>
        <v>692</v>
      </c>
      <c r="C704" s="204">
        <f t="shared" si="30"/>
        <v>0</v>
      </c>
      <c r="D704" s="204" t="str">
        <f t="shared" si="31"/>
        <v/>
      </c>
      <c r="E704" s="203" t="str">
        <f t="shared" si="32"/>
        <v/>
      </c>
      <c r="F704" s="228"/>
      <c r="G704" s="206"/>
      <c r="H704" s="206"/>
      <c r="I704" s="242"/>
      <c r="J704" s="273"/>
      <c r="K704" s="266"/>
      <c r="L704" s="258"/>
      <c r="M704" s="274"/>
      <c r="N704" s="251"/>
      <c r="O704" s="251"/>
      <c r="Q704" s="150"/>
      <c r="R704" s="150"/>
      <c r="S704" s="150"/>
      <c r="T704" s="150"/>
      <c r="U704" s="150"/>
      <c r="V704" s="150"/>
      <c r="W704" s="150"/>
      <c r="X704" s="150"/>
      <c r="Y704" s="150"/>
    </row>
    <row r="705" spans="2:25" ht="14.5" x14ac:dyDescent="0.35">
      <c r="B705" s="203">
        <f t="shared" si="33"/>
        <v>693</v>
      </c>
      <c r="C705" s="204">
        <f t="shared" si="30"/>
        <v>0</v>
      </c>
      <c r="D705" s="204" t="str">
        <f t="shared" si="31"/>
        <v/>
      </c>
      <c r="E705" s="203" t="str">
        <f t="shared" si="32"/>
        <v/>
      </c>
      <c r="F705" s="228"/>
      <c r="G705" s="206"/>
      <c r="H705" s="206"/>
      <c r="I705" s="242"/>
      <c r="J705" s="273"/>
      <c r="K705" s="266"/>
      <c r="L705" s="258"/>
      <c r="M705" s="274"/>
      <c r="N705" s="251"/>
      <c r="O705" s="251"/>
      <c r="Q705" s="150"/>
      <c r="R705" s="150"/>
      <c r="S705" s="150"/>
      <c r="T705" s="150"/>
      <c r="U705" s="150"/>
      <c r="V705" s="150"/>
      <c r="W705" s="150"/>
      <c r="X705" s="150"/>
      <c r="Y705" s="150"/>
    </row>
    <row r="706" spans="2:25" ht="14.5" x14ac:dyDescent="0.35">
      <c r="B706" s="203">
        <f t="shared" si="33"/>
        <v>694</v>
      </c>
      <c r="C706" s="204">
        <f t="shared" si="30"/>
        <v>0</v>
      </c>
      <c r="D706" s="204" t="str">
        <f t="shared" si="31"/>
        <v/>
      </c>
      <c r="E706" s="203" t="str">
        <f t="shared" si="32"/>
        <v/>
      </c>
      <c r="F706" s="228"/>
      <c r="G706" s="206"/>
      <c r="H706" s="206"/>
      <c r="I706" s="242"/>
      <c r="J706" s="273"/>
      <c r="K706" s="266"/>
      <c r="L706" s="258"/>
      <c r="M706" s="274"/>
      <c r="N706" s="251"/>
      <c r="O706" s="251"/>
      <c r="Q706" s="150"/>
      <c r="R706" s="150"/>
      <c r="S706" s="150"/>
      <c r="T706" s="150"/>
      <c r="U706" s="150"/>
      <c r="V706" s="150"/>
      <c r="W706" s="150"/>
      <c r="X706" s="150"/>
      <c r="Y706" s="150"/>
    </row>
    <row r="707" spans="2:25" ht="14.5" x14ac:dyDescent="0.35">
      <c r="B707" s="203">
        <f t="shared" si="33"/>
        <v>695</v>
      </c>
      <c r="C707" s="204">
        <f t="shared" si="30"/>
        <v>0</v>
      </c>
      <c r="D707" s="204" t="str">
        <f t="shared" si="31"/>
        <v/>
      </c>
      <c r="E707" s="203" t="str">
        <f t="shared" si="32"/>
        <v/>
      </c>
      <c r="F707" s="228"/>
      <c r="G707" s="206"/>
      <c r="H707" s="206"/>
      <c r="I707" s="242"/>
      <c r="J707" s="273"/>
      <c r="K707" s="266"/>
      <c r="L707" s="258"/>
      <c r="M707" s="274"/>
      <c r="N707" s="251"/>
      <c r="O707" s="251"/>
      <c r="Q707" s="150"/>
      <c r="R707" s="150"/>
      <c r="S707" s="150"/>
      <c r="T707" s="150"/>
      <c r="U707" s="150"/>
      <c r="V707" s="150"/>
      <c r="W707" s="150"/>
      <c r="X707" s="150"/>
      <c r="Y707" s="150"/>
    </row>
    <row r="708" spans="2:25" ht="14.5" x14ac:dyDescent="0.35">
      <c r="B708" s="203">
        <f t="shared" si="33"/>
        <v>696</v>
      </c>
      <c r="C708" s="204">
        <f t="shared" si="30"/>
        <v>0</v>
      </c>
      <c r="D708" s="204" t="str">
        <f t="shared" si="31"/>
        <v/>
      </c>
      <c r="E708" s="203" t="str">
        <f t="shared" si="32"/>
        <v/>
      </c>
      <c r="F708" s="228"/>
      <c r="G708" s="206"/>
      <c r="H708" s="206"/>
      <c r="I708" s="242"/>
      <c r="J708" s="273"/>
      <c r="K708" s="266"/>
      <c r="L708" s="258"/>
      <c r="M708" s="274"/>
      <c r="N708" s="251"/>
      <c r="O708" s="251"/>
      <c r="Q708" s="150"/>
      <c r="R708" s="150"/>
      <c r="S708" s="150"/>
      <c r="T708" s="150"/>
      <c r="U708" s="150"/>
      <c r="V708" s="150"/>
      <c r="W708" s="150"/>
      <c r="X708" s="150"/>
      <c r="Y708" s="150"/>
    </row>
    <row r="709" spans="2:25" ht="14.5" x14ac:dyDescent="0.35">
      <c r="B709" s="203">
        <f t="shared" si="33"/>
        <v>697</v>
      </c>
      <c r="C709" s="204">
        <f t="shared" si="30"/>
        <v>0</v>
      </c>
      <c r="D709" s="204" t="str">
        <f t="shared" si="31"/>
        <v/>
      </c>
      <c r="E709" s="203" t="str">
        <f t="shared" si="32"/>
        <v/>
      </c>
      <c r="F709" s="228"/>
      <c r="G709" s="206"/>
      <c r="H709" s="206"/>
      <c r="I709" s="242"/>
      <c r="J709" s="273"/>
      <c r="K709" s="266"/>
      <c r="L709" s="258"/>
      <c r="M709" s="274"/>
      <c r="N709" s="251"/>
      <c r="O709" s="251"/>
      <c r="Q709" s="150"/>
      <c r="R709" s="150"/>
      <c r="S709" s="150"/>
      <c r="T709" s="150"/>
      <c r="U709" s="150"/>
      <c r="V709" s="150"/>
      <c r="W709" s="150"/>
      <c r="X709" s="150"/>
      <c r="Y709" s="150"/>
    </row>
    <row r="710" spans="2:25" ht="14.5" x14ac:dyDescent="0.35">
      <c r="B710" s="203">
        <f t="shared" si="33"/>
        <v>698</v>
      </c>
      <c r="C710" s="204">
        <f t="shared" si="30"/>
        <v>0</v>
      </c>
      <c r="D710" s="204" t="str">
        <f t="shared" si="31"/>
        <v/>
      </c>
      <c r="E710" s="203" t="str">
        <f t="shared" si="32"/>
        <v/>
      </c>
      <c r="F710" s="228"/>
      <c r="G710" s="206"/>
      <c r="H710" s="206"/>
      <c r="I710" s="242"/>
      <c r="J710" s="273"/>
      <c r="K710" s="266"/>
      <c r="L710" s="258"/>
      <c r="M710" s="274"/>
      <c r="N710" s="251"/>
      <c r="O710" s="251"/>
      <c r="Q710" s="150"/>
      <c r="R710" s="150"/>
      <c r="S710" s="150"/>
      <c r="T710" s="150"/>
      <c r="U710" s="150"/>
      <c r="V710" s="150"/>
      <c r="W710" s="150"/>
      <c r="X710" s="150"/>
      <c r="Y710" s="150"/>
    </row>
    <row r="711" spans="2:25" ht="14.5" x14ac:dyDescent="0.35">
      <c r="B711" s="203">
        <f t="shared" si="33"/>
        <v>699</v>
      </c>
      <c r="C711" s="204">
        <f t="shared" si="30"/>
        <v>0</v>
      </c>
      <c r="D711" s="204" t="str">
        <f t="shared" si="31"/>
        <v/>
      </c>
      <c r="E711" s="203" t="str">
        <f t="shared" si="32"/>
        <v/>
      </c>
      <c r="F711" s="228"/>
      <c r="G711" s="206"/>
      <c r="H711" s="206"/>
      <c r="I711" s="242"/>
      <c r="J711" s="273"/>
      <c r="K711" s="266"/>
      <c r="L711" s="258"/>
      <c r="M711" s="274"/>
      <c r="N711" s="251"/>
      <c r="O711" s="251"/>
      <c r="Q711" s="150"/>
      <c r="R711" s="150"/>
      <c r="S711" s="150"/>
      <c r="T711" s="150"/>
      <c r="U711" s="150"/>
      <c r="V711" s="150"/>
      <c r="W711" s="150"/>
      <c r="X711" s="150"/>
      <c r="Y711" s="150"/>
    </row>
    <row r="712" spans="2:25" ht="14.5" x14ac:dyDescent="0.35">
      <c r="B712" s="203">
        <f t="shared" si="33"/>
        <v>700</v>
      </c>
      <c r="C712" s="204">
        <f t="shared" si="30"/>
        <v>0</v>
      </c>
      <c r="D712" s="204" t="str">
        <f t="shared" si="31"/>
        <v/>
      </c>
      <c r="E712" s="203" t="str">
        <f t="shared" si="32"/>
        <v/>
      </c>
      <c r="F712" s="228"/>
      <c r="G712" s="206"/>
      <c r="H712" s="206"/>
      <c r="I712" s="242"/>
      <c r="J712" s="273"/>
      <c r="K712" s="266"/>
      <c r="L712" s="258"/>
      <c r="M712" s="274"/>
      <c r="N712" s="251"/>
      <c r="O712" s="251"/>
      <c r="Q712" s="150"/>
      <c r="R712" s="150"/>
      <c r="S712" s="150"/>
      <c r="T712" s="150"/>
      <c r="U712" s="150"/>
      <c r="V712" s="150"/>
      <c r="W712" s="150"/>
      <c r="X712" s="150"/>
      <c r="Y712" s="150"/>
    </row>
    <row r="713" spans="2:25" ht="14.5" x14ac:dyDescent="0.35">
      <c r="B713" s="203">
        <f t="shared" si="33"/>
        <v>701</v>
      </c>
      <c r="C713" s="204">
        <f t="shared" si="30"/>
        <v>0</v>
      </c>
      <c r="D713" s="204" t="str">
        <f t="shared" si="31"/>
        <v/>
      </c>
      <c r="E713" s="203" t="str">
        <f t="shared" si="32"/>
        <v/>
      </c>
      <c r="F713" s="228"/>
      <c r="G713" s="206"/>
      <c r="H713" s="206"/>
      <c r="I713" s="242"/>
      <c r="J713" s="273"/>
      <c r="K713" s="266"/>
      <c r="L713" s="258"/>
      <c r="M713" s="274"/>
      <c r="N713" s="251"/>
      <c r="O713" s="251"/>
      <c r="Q713" s="150"/>
      <c r="R713" s="150"/>
      <c r="S713" s="150"/>
      <c r="T713" s="150"/>
      <c r="U713" s="150"/>
      <c r="V713" s="150"/>
      <c r="W713" s="150"/>
      <c r="X713" s="150"/>
      <c r="Y713" s="150"/>
    </row>
    <row r="714" spans="2:25" ht="14.5" x14ac:dyDescent="0.35">
      <c r="B714" s="203">
        <f t="shared" si="33"/>
        <v>702</v>
      </c>
      <c r="C714" s="204">
        <f t="shared" si="30"/>
        <v>0</v>
      </c>
      <c r="D714" s="204" t="str">
        <f t="shared" si="31"/>
        <v/>
      </c>
      <c r="E714" s="203" t="str">
        <f t="shared" si="32"/>
        <v/>
      </c>
      <c r="F714" s="228"/>
      <c r="G714" s="206"/>
      <c r="H714" s="206"/>
      <c r="I714" s="242"/>
      <c r="J714" s="273"/>
      <c r="K714" s="266"/>
      <c r="L714" s="258"/>
      <c r="M714" s="274"/>
      <c r="N714" s="251"/>
      <c r="O714" s="251"/>
      <c r="Q714" s="150"/>
      <c r="R714" s="150"/>
      <c r="S714" s="150"/>
      <c r="T714" s="150"/>
      <c r="U714" s="150"/>
      <c r="V714" s="150"/>
      <c r="W714" s="150"/>
      <c r="X714" s="150"/>
      <c r="Y714" s="150"/>
    </row>
    <row r="715" spans="2:25" ht="14.5" x14ac:dyDescent="0.35">
      <c r="B715" s="203">
        <f t="shared" si="33"/>
        <v>703</v>
      </c>
      <c r="C715" s="204">
        <f t="shared" si="30"/>
        <v>0</v>
      </c>
      <c r="D715" s="204" t="str">
        <f t="shared" si="31"/>
        <v/>
      </c>
      <c r="E715" s="203" t="str">
        <f t="shared" si="32"/>
        <v/>
      </c>
      <c r="F715" s="228"/>
      <c r="G715" s="206"/>
      <c r="H715" s="206"/>
      <c r="I715" s="242"/>
      <c r="J715" s="273"/>
      <c r="K715" s="266"/>
      <c r="L715" s="258"/>
      <c r="M715" s="274"/>
      <c r="N715" s="251"/>
      <c r="O715" s="251"/>
      <c r="Q715" s="150"/>
      <c r="R715" s="150"/>
      <c r="S715" s="150"/>
      <c r="T715" s="150"/>
      <c r="U715" s="150"/>
      <c r="V715" s="150"/>
      <c r="W715" s="150"/>
      <c r="X715" s="150"/>
      <c r="Y715" s="150"/>
    </row>
    <row r="716" spans="2:25" ht="14.5" x14ac:dyDescent="0.35">
      <c r="B716" s="203">
        <f t="shared" si="33"/>
        <v>704</v>
      </c>
      <c r="C716" s="204">
        <f t="shared" si="30"/>
        <v>0</v>
      </c>
      <c r="D716" s="204" t="str">
        <f t="shared" si="31"/>
        <v/>
      </c>
      <c r="E716" s="203" t="str">
        <f t="shared" si="32"/>
        <v/>
      </c>
      <c r="F716" s="228"/>
      <c r="G716" s="206"/>
      <c r="H716" s="206"/>
      <c r="I716" s="242"/>
      <c r="J716" s="273"/>
      <c r="K716" s="266"/>
      <c r="L716" s="258"/>
      <c r="M716" s="274"/>
      <c r="N716" s="251"/>
      <c r="O716" s="251"/>
      <c r="Q716" s="150"/>
      <c r="R716" s="150"/>
      <c r="S716" s="150"/>
      <c r="T716" s="150"/>
      <c r="U716" s="150"/>
      <c r="V716" s="150"/>
      <c r="W716" s="150"/>
      <c r="X716" s="150"/>
      <c r="Y716" s="150"/>
    </row>
    <row r="717" spans="2:25" ht="14.5" x14ac:dyDescent="0.35">
      <c r="B717" s="203">
        <f t="shared" si="33"/>
        <v>705</v>
      </c>
      <c r="C717" s="204">
        <f t="shared" ref="C717:C780" si="34">IFERROR(DAY(F717),0)</f>
        <v>0</v>
      </c>
      <c r="D717" s="204" t="str">
        <f t="shared" ref="D717:D780" si="35">IFERROR(IF(F717="","",TEXT(DATE(0,MONTH(F717),1),"MMM")),"date issue")</f>
        <v/>
      </c>
      <c r="E717" s="203" t="str">
        <f t="shared" ref="E717:E780" si="36">IFERROR(IF(OR(C717=1,C717=2,C717=3,C717=4,C717=5,C717=6,C717=7),1,IF(OR(C717=8,C717=9,C717=10,C717=11,C717=12,C717=13,C717=14),2,IF(OR(C717=15,C717=16,C717=17,C717=18,C717=19,C717=20,C717=21),3,IF(OR(C717=22,C717=23,C717=24,C717=25,C717=26,C717=27,C717=28),4,IF(OR(C717=29,C717=30,C717=31),5,""))))),0)</f>
        <v/>
      </c>
      <c r="F717" s="228"/>
      <c r="G717" s="206"/>
      <c r="H717" s="206"/>
      <c r="I717" s="242"/>
      <c r="J717" s="273"/>
      <c r="K717" s="266"/>
      <c r="L717" s="258"/>
      <c r="M717" s="274"/>
      <c r="N717" s="251"/>
      <c r="O717" s="251"/>
      <c r="Q717" s="150"/>
      <c r="R717" s="150"/>
      <c r="S717" s="150"/>
      <c r="T717" s="150"/>
      <c r="U717" s="150"/>
      <c r="V717" s="150"/>
      <c r="W717" s="150"/>
      <c r="X717" s="150"/>
      <c r="Y717" s="150"/>
    </row>
    <row r="718" spans="2:25" ht="14.5" x14ac:dyDescent="0.35">
      <c r="B718" s="203">
        <f t="shared" si="33"/>
        <v>706</v>
      </c>
      <c r="C718" s="204">
        <f t="shared" si="34"/>
        <v>0</v>
      </c>
      <c r="D718" s="204" t="str">
        <f t="shared" si="35"/>
        <v/>
      </c>
      <c r="E718" s="203" t="str">
        <f t="shared" si="36"/>
        <v/>
      </c>
      <c r="F718" s="228"/>
      <c r="G718" s="206"/>
      <c r="H718" s="206"/>
      <c r="I718" s="242"/>
      <c r="J718" s="273"/>
      <c r="K718" s="266"/>
      <c r="L718" s="258"/>
      <c r="M718" s="274"/>
      <c r="N718" s="251"/>
      <c r="O718" s="251"/>
      <c r="Q718" s="150"/>
      <c r="R718" s="150"/>
      <c r="S718" s="150"/>
      <c r="T718" s="150"/>
      <c r="U718" s="150"/>
      <c r="V718" s="150"/>
      <c r="W718" s="150"/>
      <c r="X718" s="150"/>
      <c r="Y718" s="150"/>
    </row>
    <row r="719" spans="2:25" ht="14.5" x14ac:dyDescent="0.35">
      <c r="B719" s="203">
        <f t="shared" si="33"/>
        <v>707</v>
      </c>
      <c r="C719" s="204">
        <f t="shared" si="34"/>
        <v>0</v>
      </c>
      <c r="D719" s="204" t="str">
        <f t="shared" si="35"/>
        <v/>
      </c>
      <c r="E719" s="203" t="str">
        <f t="shared" si="36"/>
        <v/>
      </c>
      <c r="F719" s="228"/>
      <c r="G719" s="206"/>
      <c r="H719" s="206"/>
      <c r="I719" s="242"/>
      <c r="J719" s="273"/>
      <c r="K719" s="266"/>
      <c r="L719" s="258"/>
      <c r="M719" s="274"/>
      <c r="N719" s="251"/>
      <c r="O719" s="251"/>
      <c r="Q719" s="150"/>
      <c r="R719" s="150"/>
      <c r="S719" s="150"/>
      <c r="T719" s="150"/>
      <c r="U719" s="150"/>
      <c r="V719" s="150"/>
      <c r="W719" s="150"/>
      <c r="X719" s="150"/>
      <c r="Y719" s="150"/>
    </row>
    <row r="720" spans="2:25" ht="14.5" x14ac:dyDescent="0.35">
      <c r="B720" s="203">
        <f t="shared" si="33"/>
        <v>708</v>
      </c>
      <c r="C720" s="204">
        <f t="shared" si="34"/>
        <v>0</v>
      </c>
      <c r="D720" s="204" t="str">
        <f t="shared" si="35"/>
        <v/>
      </c>
      <c r="E720" s="203" t="str">
        <f t="shared" si="36"/>
        <v/>
      </c>
      <c r="F720" s="228"/>
      <c r="G720" s="206"/>
      <c r="H720" s="206"/>
      <c r="I720" s="242"/>
      <c r="J720" s="273"/>
      <c r="K720" s="266"/>
      <c r="L720" s="258"/>
      <c r="M720" s="274"/>
      <c r="N720" s="251"/>
      <c r="O720" s="251"/>
      <c r="Q720" s="150"/>
      <c r="R720" s="150"/>
      <c r="S720" s="150"/>
      <c r="T720" s="150"/>
      <c r="U720" s="150"/>
      <c r="V720" s="150"/>
      <c r="W720" s="150"/>
      <c r="X720" s="150"/>
      <c r="Y720" s="150"/>
    </row>
    <row r="721" spans="2:25" ht="14.5" x14ac:dyDescent="0.35">
      <c r="B721" s="203">
        <f t="shared" si="33"/>
        <v>709</v>
      </c>
      <c r="C721" s="204">
        <f t="shared" si="34"/>
        <v>0</v>
      </c>
      <c r="D721" s="204" t="str">
        <f t="shared" si="35"/>
        <v/>
      </c>
      <c r="E721" s="203" t="str">
        <f t="shared" si="36"/>
        <v/>
      </c>
      <c r="F721" s="228"/>
      <c r="G721" s="206"/>
      <c r="H721" s="206"/>
      <c r="I721" s="242"/>
      <c r="J721" s="273"/>
      <c r="K721" s="266"/>
      <c r="L721" s="258"/>
      <c r="M721" s="274"/>
      <c r="N721" s="251"/>
      <c r="O721" s="251"/>
      <c r="Q721" s="150"/>
      <c r="R721" s="150"/>
      <c r="S721" s="150"/>
      <c r="T721" s="150"/>
      <c r="U721" s="150"/>
      <c r="V721" s="150"/>
      <c r="W721" s="150"/>
      <c r="X721" s="150"/>
      <c r="Y721" s="150"/>
    </row>
    <row r="722" spans="2:25" ht="14.5" x14ac:dyDescent="0.35">
      <c r="B722" s="203">
        <f t="shared" si="33"/>
        <v>710</v>
      </c>
      <c r="C722" s="204">
        <f t="shared" si="34"/>
        <v>0</v>
      </c>
      <c r="D722" s="204" t="str">
        <f t="shared" si="35"/>
        <v/>
      </c>
      <c r="E722" s="203" t="str">
        <f t="shared" si="36"/>
        <v/>
      </c>
      <c r="F722" s="228"/>
      <c r="G722" s="206"/>
      <c r="H722" s="206"/>
      <c r="I722" s="242"/>
      <c r="J722" s="273"/>
      <c r="K722" s="266"/>
      <c r="L722" s="258"/>
      <c r="M722" s="274"/>
      <c r="N722" s="251"/>
      <c r="O722" s="251"/>
      <c r="Q722" s="150"/>
      <c r="R722" s="150"/>
      <c r="S722" s="150"/>
      <c r="T722" s="150"/>
      <c r="U722" s="150"/>
      <c r="V722" s="150"/>
      <c r="W722" s="150"/>
      <c r="X722" s="150"/>
      <c r="Y722" s="150"/>
    </row>
    <row r="723" spans="2:25" ht="14.5" x14ac:dyDescent="0.35">
      <c r="B723" s="203">
        <f t="shared" si="33"/>
        <v>711</v>
      </c>
      <c r="C723" s="204">
        <f t="shared" si="34"/>
        <v>0</v>
      </c>
      <c r="D723" s="204" t="str">
        <f t="shared" si="35"/>
        <v/>
      </c>
      <c r="E723" s="203" t="str">
        <f t="shared" si="36"/>
        <v/>
      </c>
      <c r="F723" s="228"/>
      <c r="G723" s="206"/>
      <c r="H723" s="206"/>
      <c r="I723" s="242"/>
      <c r="J723" s="273"/>
      <c r="K723" s="266"/>
      <c r="L723" s="258"/>
      <c r="M723" s="274"/>
      <c r="N723" s="251"/>
      <c r="O723" s="251"/>
      <c r="Q723" s="150"/>
      <c r="R723" s="150"/>
      <c r="S723" s="150"/>
      <c r="T723" s="150"/>
      <c r="U723" s="150"/>
      <c r="V723" s="150"/>
      <c r="W723" s="150"/>
      <c r="X723" s="150"/>
      <c r="Y723" s="150"/>
    </row>
    <row r="724" spans="2:25" ht="14.5" x14ac:dyDescent="0.35">
      <c r="B724" s="203">
        <f t="shared" si="33"/>
        <v>712</v>
      </c>
      <c r="C724" s="204">
        <f t="shared" si="34"/>
        <v>0</v>
      </c>
      <c r="D724" s="204" t="str">
        <f t="shared" si="35"/>
        <v/>
      </c>
      <c r="E724" s="203" t="str">
        <f t="shared" si="36"/>
        <v/>
      </c>
      <c r="F724" s="228"/>
      <c r="G724" s="206"/>
      <c r="H724" s="206"/>
      <c r="I724" s="242"/>
      <c r="J724" s="273"/>
      <c r="K724" s="266"/>
      <c r="L724" s="258"/>
      <c r="M724" s="274"/>
      <c r="N724" s="251"/>
      <c r="O724" s="251"/>
      <c r="Q724" s="150"/>
      <c r="R724" s="150"/>
      <c r="S724" s="150"/>
      <c r="T724" s="150"/>
      <c r="U724" s="150"/>
      <c r="V724" s="150"/>
      <c r="W724" s="150"/>
      <c r="X724" s="150"/>
      <c r="Y724" s="150"/>
    </row>
    <row r="725" spans="2:25" ht="14.5" x14ac:dyDescent="0.35">
      <c r="B725" s="203">
        <f t="shared" si="33"/>
        <v>713</v>
      </c>
      <c r="C725" s="204">
        <f t="shared" si="34"/>
        <v>0</v>
      </c>
      <c r="D725" s="204" t="str">
        <f t="shared" si="35"/>
        <v/>
      </c>
      <c r="E725" s="203" t="str">
        <f t="shared" si="36"/>
        <v/>
      </c>
      <c r="F725" s="228"/>
      <c r="G725" s="206"/>
      <c r="H725" s="206"/>
      <c r="I725" s="242"/>
      <c r="J725" s="273"/>
      <c r="K725" s="266"/>
      <c r="L725" s="258"/>
      <c r="M725" s="274"/>
      <c r="N725" s="251"/>
      <c r="O725" s="251"/>
      <c r="Q725" s="150"/>
      <c r="R725" s="150"/>
      <c r="S725" s="150"/>
      <c r="T725" s="150"/>
      <c r="U725" s="150"/>
      <c r="V725" s="150"/>
      <c r="W725" s="150"/>
      <c r="X725" s="150"/>
      <c r="Y725" s="150"/>
    </row>
    <row r="726" spans="2:25" ht="14.5" x14ac:dyDescent="0.35">
      <c r="B726" s="203">
        <f t="shared" si="33"/>
        <v>714</v>
      </c>
      <c r="C726" s="204">
        <f t="shared" si="34"/>
        <v>0</v>
      </c>
      <c r="D726" s="204" t="str">
        <f t="shared" si="35"/>
        <v/>
      </c>
      <c r="E726" s="203" t="str">
        <f t="shared" si="36"/>
        <v/>
      </c>
      <c r="F726" s="228"/>
      <c r="G726" s="206"/>
      <c r="H726" s="206"/>
      <c r="I726" s="242"/>
      <c r="J726" s="273"/>
      <c r="K726" s="266"/>
      <c r="L726" s="258"/>
      <c r="M726" s="274"/>
      <c r="N726" s="251"/>
      <c r="O726" s="251"/>
      <c r="Q726" s="150"/>
      <c r="R726" s="150"/>
      <c r="S726" s="150"/>
      <c r="T726" s="150"/>
      <c r="U726" s="150"/>
      <c r="V726" s="150"/>
      <c r="W726" s="150"/>
      <c r="X726" s="150"/>
      <c r="Y726" s="150"/>
    </row>
    <row r="727" spans="2:25" ht="14.5" x14ac:dyDescent="0.35">
      <c r="B727" s="203">
        <f t="shared" ref="B727:B754" si="37">B726+1</f>
        <v>715</v>
      </c>
      <c r="C727" s="204">
        <f t="shared" si="34"/>
        <v>0</v>
      </c>
      <c r="D727" s="204" t="str">
        <f t="shared" si="35"/>
        <v/>
      </c>
      <c r="E727" s="203" t="str">
        <f t="shared" si="36"/>
        <v/>
      </c>
      <c r="F727" s="228"/>
      <c r="G727" s="206"/>
      <c r="H727" s="206"/>
      <c r="I727" s="242"/>
      <c r="J727" s="273"/>
      <c r="K727" s="266"/>
      <c r="L727" s="258"/>
      <c r="M727" s="274"/>
      <c r="N727" s="251"/>
      <c r="O727" s="251"/>
      <c r="Q727" s="150"/>
      <c r="R727" s="150"/>
      <c r="S727" s="150"/>
      <c r="T727" s="150"/>
      <c r="U727" s="150"/>
      <c r="V727" s="150"/>
      <c r="W727" s="150"/>
      <c r="X727" s="150"/>
      <c r="Y727" s="150"/>
    </row>
    <row r="728" spans="2:25" ht="14.5" x14ac:dyDescent="0.35">
      <c r="B728" s="203">
        <f t="shared" si="37"/>
        <v>716</v>
      </c>
      <c r="C728" s="204">
        <f t="shared" si="34"/>
        <v>0</v>
      </c>
      <c r="D728" s="204" t="str">
        <f t="shared" si="35"/>
        <v/>
      </c>
      <c r="E728" s="203" t="str">
        <f t="shared" si="36"/>
        <v/>
      </c>
      <c r="F728" s="228"/>
      <c r="G728" s="206"/>
      <c r="H728" s="206"/>
      <c r="I728" s="242"/>
      <c r="J728" s="273"/>
      <c r="K728" s="266"/>
      <c r="L728" s="258"/>
      <c r="M728" s="274"/>
      <c r="N728" s="251"/>
      <c r="O728" s="251"/>
      <c r="Q728" s="150"/>
      <c r="R728" s="150"/>
      <c r="S728" s="150"/>
      <c r="T728" s="150"/>
      <c r="U728" s="150"/>
      <c r="V728" s="150"/>
      <c r="W728" s="150"/>
      <c r="X728" s="150"/>
      <c r="Y728" s="150"/>
    </row>
    <row r="729" spans="2:25" ht="14.5" x14ac:dyDescent="0.35">
      <c r="B729" s="203">
        <f t="shared" si="37"/>
        <v>717</v>
      </c>
      <c r="C729" s="204">
        <f t="shared" si="34"/>
        <v>0</v>
      </c>
      <c r="D729" s="204" t="str">
        <f t="shared" si="35"/>
        <v/>
      </c>
      <c r="E729" s="203" t="str">
        <f t="shared" si="36"/>
        <v/>
      </c>
      <c r="F729" s="228"/>
      <c r="G729" s="206"/>
      <c r="H729" s="206"/>
      <c r="I729" s="242"/>
      <c r="J729" s="273"/>
      <c r="K729" s="266"/>
      <c r="L729" s="258"/>
      <c r="M729" s="274"/>
      <c r="N729" s="251"/>
      <c r="O729" s="251"/>
      <c r="Q729" s="150"/>
      <c r="R729" s="150"/>
      <c r="S729" s="150"/>
      <c r="T729" s="150"/>
      <c r="U729" s="150"/>
      <c r="V729" s="150"/>
      <c r="W729" s="150"/>
      <c r="X729" s="150"/>
      <c r="Y729" s="150"/>
    </row>
    <row r="730" spans="2:25" ht="14.5" x14ac:dyDescent="0.35">
      <c r="B730" s="203">
        <f t="shared" si="37"/>
        <v>718</v>
      </c>
      <c r="C730" s="204">
        <f t="shared" si="34"/>
        <v>0</v>
      </c>
      <c r="D730" s="204" t="str">
        <f t="shared" si="35"/>
        <v/>
      </c>
      <c r="E730" s="203" t="str">
        <f t="shared" si="36"/>
        <v/>
      </c>
      <c r="F730" s="228"/>
      <c r="G730" s="206"/>
      <c r="H730" s="206"/>
      <c r="I730" s="242"/>
      <c r="J730" s="273"/>
      <c r="K730" s="266"/>
      <c r="L730" s="258"/>
      <c r="M730" s="274"/>
      <c r="N730" s="251"/>
      <c r="O730" s="251"/>
      <c r="Q730" s="150"/>
      <c r="R730" s="150"/>
      <c r="S730" s="150"/>
      <c r="T730" s="150"/>
      <c r="U730" s="150"/>
      <c r="V730" s="150"/>
      <c r="W730" s="150"/>
      <c r="X730" s="150"/>
      <c r="Y730" s="150"/>
    </row>
    <row r="731" spans="2:25" ht="14.5" x14ac:dyDescent="0.35">
      <c r="B731" s="203">
        <f t="shared" si="37"/>
        <v>719</v>
      </c>
      <c r="C731" s="204">
        <f t="shared" si="34"/>
        <v>0</v>
      </c>
      <c r="D731" s="204" t="str">
        <f t="shared" si="35"/>
        <v/>
      </c>
      <c r="E731" s="203" t="str">
        <f t="shared" si="36"/>
        <v/>
      </c>
      <c r="F731" s="228"/>
      <c r="G731" s="206"/>
      <c r="H731" s="206"/>
      <c r="I731" s="242"/>
      <c r="J731" s="273"/>
      <c r="K731" s="266"/>
      <c r="L731" s="258"/>
      <c r="M731" s="274"/>
      <c r="N731" s="251"/>
      <c r="O731" s="251"/>
      <c r="Q731" s="150"/>
      <c r="R731" s="150"/>
      <c r="S731" s="150"/>
      <c r="T731" s="150"/>
      <c r="U731" s="150"/>
      <c r="V731" s="150"/>
      <c r="W731" s="150"/>
      <c r="X731" s="150"/>
      <c r="Y731" s="150"/>
    </row>
    <row r="732" spans="2:25" ht="14.5" x14ac:dyDescent="0.35">
      <c r="B732" s="203">
        <f t="shared" si="37"/>
        <v>720</v>
      </c>
      <c r="C732" s="204">
        <f t="shared" si="34"/>
        <v>0</v>
      </c>
      <c r="D732" s="204" t="str">
        <f t="shared" si="35"/>
        <v/>
      </c>
      <c r="E732" s="203" t="str">
        <f t="shared" si="36"/>
        <v/>
      </c>
      <c r="F732" s="228"/>
      <c r="G732" s="206"/>
      <c r="H732" s="206"/>
      <c r="I732" s="242"/>
      <c r="J732" s="273"/>
      <c r="K732" s="266"/>
      <c r="L732" s="258"/>
      <c r="M732" s="274"/>
      <c r="N732" s="251"/>
      <c r="O732" s="251"/>
      <c r="Q732" s="150"/>
      <c r="R732" s="150"/>
      <c r="S732" s="150"/>
      <c r="T732" s="150"/>
      <c r="U732" s="150"/>
      <c r="V732" s="150"/>
      <c r="W732" s="150"/>
      <c r="X732" s="150"/>
      <c r="Y732" s="150"/>
    </row>
    <row r="733" spans="2:25" ht="14.5" x14ac:dyDescent="0.35">
      <c r="B733" s="203">
        <f t="shared" si="37"/>
        <v>721</v>
      </c>
      <c r="C733" s="204">
        <f t="shared" si="34"/>
        <v>0</v>
      </c>
      <c r="D733" s="204" t="str">
        <f t="shared" si="35"/>
        <v/>
      </c>
      <c r="E733" s="203" t="str">
        <f t="shared" si="36"/>
        <v/>
      </c>
      <c r="F733" s="228"/>
      <c r="G733" s="206"/>
      <c r="H733" s="206"/>
      <c r="I733" s="242"/>
      <c r="J733" s="273"/>
      <c r="K733" s="266"/>
      <c r="L733" s="258"/>
      <c r="M733" s="274"/>
      <c r="N733" s="251"/>
      <c r="O733" s="251"/>
      <c r="Q733" s="150"/>
      <c r="R733" s="150"/>
      <c r="S733" s="150"/>
      <c r="T733" s="150"/>
      <c r="U733" s="150"/>
      <c r="V733" s="150"/>
      <c r="W733" s="150"/>
      <c r="X733" s="150"/>
      <c r="Y733" s="150"/>
    </row>
    <row r="734" spans="2:25" ht="14.5" x14ac:dyDescent="0.35">
      <c r="B734" s="203">
        <f t="shared" si="37"/>
        <v>722</v>
      </c>
      <c r="C734" s="204">
        <f t="shared" si="34"/>
        <v>0</v>
      </c>
      <c r="D734" s="204" t="str">
        <f t="shared" si="35"/>
        <v/>
      </c>
      <c r="E734" s="203" t="str">
        <f t="shared" si="36"/>
        <v/>
      </c>
      <c r="F734" s="228"/>
      <c r="G734" s="206"/>
      <c r="H734" s="206"/>
      <c r="I734" s="242"/>
      <c r="J734" s="273"/>
      <c r="K734" s="266"/>
      <c r="L734" s="258"/>
      <c r="M734" s="274"/>
      <c r="N734" s="251"/>
      <c r="O734" s="251"/>
      <c r="Q734" s="150"/>
      <c r="R734" s="150"/>
      <c r="S734" s="150"/>
      <c r="T734" s="150"/>
      <c r="U734" s="150"/>
      <c r="V734" s="150"/>
      <c r="W734" s="150"/>
      <c r="X734" s="150"/>
      <c r="Y734" s="150"/>
    </row>
    <row r="735" spans="2:25" ht="14.5" x14ac:dyDescent="0.35">
      <c r="B735" s="203">
        <f t="shared" si="37"/>
        <v>723</v>
      </c>
      <c r="C735" s="204">
        <f t="shared" si="34"/>
        <v>0</v>
      </c>
      <c r="D735" s="204" t="str">
        <f t="shared" si="35"/>
        <v/>
      </c>
      <c r="E735" s="203" t="str">
        <f t="shared" si="36"/>
        <v/>
      </c>
      <c r="F735" s="228"/>
      <c r="G735" s="206"/>
      <c r="H735" s="206"/>
      <c r="I735" s="242"/>
      <c r="J735" s="273"/>
      <c r="K735" s="266"/>
      <c r="L735" s="258"/>
      <c r="M735" s="274"/>
      <c r="N735" s="251"/>
      <c r="O735" s="251"/>
      <c r="Q735" s="150"/>
      <c r="R735" s="150"/>
      <c r="S735" s="150"/>
      <c r="T735" s="150"/>
      <c r="U735" s="150"/>
      <c r="V735" s="150"/>
      <c r="W735" s="150"/>
      <c r="X735" s="150"/>
      <c r="Y735" s="150"/>
    </row>
    <row r="736" spans="2:25" ht="14.5" x14ac:dyDescent="0.35">
      <c r="B736" s="203">
        <f t="shared" si="37"/>
        <v>724</v>
      </c>
      <c r="C736" s="204">
        <f t="shared" si="34"/>
        <v>0</v>
      </c>
      <c r="D736" s="204" t="str">
        <f t="shared" si="35"/>
        <v/>
      </c>
      <c r="E736" s="203" t="str">
        <f t="shared" si="36"/>
        <v/>
      </c>
      <c r="F736" s="228"/>
      <c r="G736" s="206"/>
      <c r="H736" s="206"/>
      <c r="I736" s="242"/>
      <c r="J736" s="273"/>
      <c r="K736" s="266"/>
      <c r="L736" s="258"/>
      <c r="M736" s="274"/>
      <c r="N736" s="251"/>
      <c r="O736" s="251"/>
      <c r="Q736" s="150"/>
      <c r="R736" s="150"/>
      <c r="S736" s="150"/>
      <c r="T736" s="150"/>
      <c r="U736" s="150"/>
      <c r="V736" s="150"/>
      <c r="W736" s="150"/>
      <c r="X736" s="150"/>
      <c r="Y736" s="150"/>
    </row>
    <row r="737" spans="2:25" ht="14.5" x14ac:dyDescent="0.35">
      <c r="B737" s="203">
        <f t="shared" si="37"/>
        <v>725</v>
      </c>
      <c r="C737" s="204">
        <f t="shared" si="34"/>
        <v>0</v>
      </c>
      <c r="D737" s="204" t="str">
        <f t="shared" si="35"/>
        <v/>
      </c>
      <c r="E737" s="203" t="str">
        <f t="shared" si="36"/>
        <v/>
      </c>
      <c r="F737" s="228"/>
      <c r="G737" s="206"/>
      <c r="H737" s="206"/>
      <c r="I737" s="242"/>
      <c r="J737" s="273"/>
      <c r="K737" s="266"/>
      <c r="L737" s="258"/>
      <c r="M737" s="274"/>
      <c r="N737" s="251"/>
      <c r="O737" s="251"/>
      <c r="Q737" s="150"/>
      <c r="R737" s="150"/>
      <c r="S737" s="150"/>
      <c r="T737" s="150"/>
      <c r="U737" s="150"/>
      <c r="V737" s="150"/>
      <c r="W737" s="150"/>
      <c r="X737" s="150"/>
      <c r="Y737" s="150"/>
    </row>
    <row r="738" spans="2:25" ht="14.5" x14ac:dyDescent="0.35">
      <c r="B738" s="203">
        <f t="shared" si="37"/>
        <v>726</v>
      </c>
      <c r="C738" s="204">
        <f t="shared" si="34"/>
        <v>0</v>
      </c>
      <c r="D738" s="204" t="str">
        <f t="shared" si="35"/>
        <v/>
      </c>
      <c r="E738" s="203" t="str">
        <f t="shared" si="36"/>
        <v/>
      </c>
      <c r="F738" s="228"/>
      <c r="G738" s="206"/>
      <c r="H738" s="206"/>
      <c r="I738" s="242"/>
      <c r="J738" s="273"/>
      <c r="K738" s="266"/>
      <c r="L738" s="258"/>
      <c r="M738" s="274"/>
      <c r="N738" s="251"/>
      <c r="O738" s="251"/>
      <c r="Q738" s="150"/>
      <c r="R738" s="150"/>
      <c r="S738" s="150"/>
      <c r="T738" s="150"/>
      <c r="U738" s="150"/>
      <c r="V738" s="150"/>
      <c r="W738" s="150"/>
      <c r="X738" s="150"/>
      <c r="Y738" s="150"/>
    </row>
    <row r="739" spans="2:25" ht="14.5" x14ac:dyDescent="0.35">
      <c r="B739" s="203">
        <f t="shared" si="37"/>
        <v>727</v>
      </c>
      <c r="C739" s="204">
        <f t="shared" si="34"/>
        <v>0</v>
      </c>
      <c r="D739" s="204" t="str">
        <f t="shared" si="35"/>
        <v/>
      </c>
      <c r="E739" s="203" t="str">
        <f t="shared" si="36"/>
        <v/>
      </c>
      <c r="F739" s="228"/>
      <c r="G739" s="206"/>
      <c r="H739" s="206"/>
      <c r="I739" s="242"/>
      <c r="J739" s="273"/>
      <c r="K739" s="266"/>
      <c r="L739" s="258"/>
      <c r="M739" s="274"/>
      <c r="N739" s="251"/>
      <c r="O739" s="251"/>
      <c r="Q739" s="150"/>
      <c r="R739" s="150"/>
      <c r="S739" s="150"/>
      <c r="T739" s="150"/>
      <c r="U739" s="150"/>
      <c r="V739" s="150"/>
      <c r="W739" s="150"/>
      <c r="X739" s="150"/>
      <c r="Y739" s="150"/>
    </row>
    <row r="740" spans="2:25" ht="14.5" x14ac:dyDescent="0.35">
      <c r="B740" s="203">
        <f t="shared" si="37"/>
        <v>728</v>
      </c>
      <c r="C740" s="204">
        <f t="shared" si="34"/>
        <v>0</v>
      </c>
      <c r="D740" s="204" t="str">
        <f t="shared" si="35"/>
        <v/>
      </c>
      <c r="E740" s="203" t="str">
        <f t="shared" si="36"/>
        <v/>
      </c>
      <c r="F740" s="228"/>
      <c r="G740" s="206"/>
      <c r="H740" s="206"/>
      <c r="I740" s="242"/>
      <c r="J740" s="273"/>
      <c r="K740" s="266"/>
      <c r="L740" s="258"/>
      <c r="M740" s="274"/>
      <c r="N740" s="251"/>
      <c r="O740" s="251"/>
      <c r="Q740" s="150"/>
      <c r="R740" s="150"/>
      <c r="S740" s="150"/>
      <c r="T740" s="150"/>
      <c r="U740" s="150"/>
      <c r="V740" s="150"/>
      <c r="W740" s="150"/>
      <c r="X740" s="150"/>
      <c r="Y740" s="150"/>
    </row>
    <row r="741" spans="2:25" ht="14.5" x14ac:dyDescent="0.35">
      <c r="B741" s="203">
        <f t="shared" si="37"/>
        <v>729</v>
      </c>
      <c r="C741" s="204">
        <f t="shared" si="34"/>
        <v>0</v>
      </c>
      <c r="D741" s="204" t="str">
        <f t="shared" si="35"/>
        <v/>
      </c>
      <c r="E741" s="203" t="str">
        <f t="shared" si="36"/>
        <v/>
      </c>
      <c r="F741" s="228"/>
      <c r="G741" s="206"/>
      <c r="H741" s="206"/>
      <c r="I741" s="242"/>
      <c r="J741" s="273"/>
      <c r="K741" s="266"/>
      <c r="L741" s="258"/>
      <c r="M741" s="274"/>
      <c r="N741" s="251"/>
      <c r="O741" s="251"/>
      <c r="Q741" s="150"/>
      <c r="R741" s="150"/>
      <c r="S741" s="150"/>
      <c r="T741" s="150"/>
      <c r="U741" s="150"/>
      <c r="V741" s="150"/>
      <c r="W741" s="150"/>
      <c r="X741" s="150"/>
      <c r="Y741" s="150"/>
    </row>
    <row r="742" spans="2:25" ht="14.5" x14ac:dyDescent="0.35">
      <c r="B742" s="203">
        <f t="shared" si="37"/>
        <v>730</v>
      </c>
      <c r="C742" s="204">
        <f t="shared" si="34"/>
        <v>0</v>
      </c>
      <c r="D742" s="204" t="str">
        <f t="shared" si="35"/>
        <v/>
      </c>
      <c r="E742" s="203" t="str">
        <f t="shared" si="36"/>
        <v/>
      </c>
      <c r="F742" s="228"/>
      <c r="G742" s="206"/>
      <c r="H742" s="206"/>
      <c r="I742" s="242"/>
      <c r="J742" s="273"/>
      <c r="K742" s="266"/>
      <c r="L742" s="258"/>
      <c r="M742" s="274"/>
      <c r="N742" s="251"/>
      <c r="O742" s="251"/>
      <c r="Q742" s="150"/>
      <c r="R742" s="150"/>
      <c r="S742" s="150"/>
      <c r="T742" s="150"/>
      <c r="U742" s="150"/>
      <c r="V742" s="150"/>
      <c r="W742" s="150"/>
      <c r="X742" s="150"/>
      <c r="Y742" s="150"/>
    </row>
    <row r="743" spans="2:25" ht="14.5" x14ac:dyDescent="0.35">
      <c r="B743" s="203">
        <f t="shared" si="37"/>
        <v>731</v>
      </c>
      <c r="C743" s="204">
        <f t="shared" si="34"/>
        <v>0</v>
      </c>
      <c r="D743" s="204" t="str">
        <f t="shared" si="35"/>
        <v/>
      </c>
      <c r="E743" s="203" t="str">
        <f t="shared" si="36"/>
        <v/>
      </c>
      <c r="F743" s="228"/>
      <c r="G743" s="206"/>
      <c r="H743" s="206"/>
      <c r="I743" s="242"/>
      <c r="J743" s="273"/>
      <c r="K743" s="266"/>
      <c r="L743" s="258"/>
      <c r="M743" s="274"/>
      <c r="N743" s="251"/>
      <c r="O743" s="251"/>
      <c r="Q743" s="150"/>
      <c r="R743" s="150"/>
      <c r="S743" s="150"/>
      <c r="T743" s="150"/>
      <c r="U743" s="150"/>
      <c r="V743" s="150"/>
      <c r="W743" s="150"/>
      <c r="X743" s="150"/>
      <c r="Y743" s="150"/>
    </row>
    <row r="744" spans="2:25" ht="14.5" x14ac:dyDescent="0.35">
      <c r="B744" s="203">
        <f t="shared" si="37"/>
        <v>732</v>
      </c>
      <c r="C744" s="204">
        <f t="shared" si="34"/>
        <v>0</v>
      </c>
      <c r="D744" s="204" t="str">
        <f t="shared" si="35"/>
        <v/>
      </c>
      <c r="E744" s="203" t="str">
        <f t="shared" si="36"/>
        <v/>
      </c>
      <c r="F744" s="228"/>
      <c r="G744" s="206"/>
      <c r="H744" s="206"/>
      <c r="I744" s="242"/>
      <c r="J744" s="273"/>
      <c r="K744" s="266"/>
      <c r="L744" s="258"/>
      <c r="M744" s="274"/>
      <c r="N744" s="251"/>
      <c r="O744" s="251"/>
      <c r="Q744" s="150"/>
      <c r="R744" s="150"/>
      <c r="S744" s="150"/>
      <c r="T744" s="150"/>
      <c r="U744" s="150"/>
      <c r="V744" s="150"/>
      <c r="W744" s="150"/>
      <c r="X744" s="150"/>
      <c r="Y744" s="150"/>
    </row>
    <row r="745" spans="2:25" ht="14.5" x14ac:dyDescent="0.35">
      <c r="B745" s="203">
        <f t="shared" si="37"/>
        <v>733</v>
      </c>
      <c r="C745" s="204">
        <f t="shared" si="34"/>
        <v>0</v>
      </c>
      <c r="D745" s="204" t="str">
        <f t="shared" si="35"/>
        <v/>
      </c>
      <c r="E745" s="203" t="str">
        <f t="shared" si="36"/>
        <v/>
      </c>
      <c r="F745" s="228"/>
      <c r="G745" s="206"/>
      <c r="H745" s="206"/>
      <c r="I745" s="242"/>
      <c r="J745" s="273"/>
      <c r="K745" s="266"/>
      <c r="L745" s="258"/>
      <c r="M745" s="274"/>
      <c r="N745" s="251"/>
      <c r="O745" s="251"/>
      <c r="Q745" s="150"/>
      <c r="R745" s="150"/>
      <c r="S745" s="150"/>
      <c r="T745" s="150"/>
      <c r="U745" s="150"/>
      <c r="V745" s="150"/>
      <c r="W745" s="150"/>
      <c r="X745" s="150"/>
      <c r="Y745" s="150"/>
    </row>
    <row r="746" spans="2:25" ht="14.5" x14ac:dyDescent="0.35">
      <c r="B746" s="203">
        <f t="shared" si="37"/>
        <v>734</v>
      </c>
      <c r="C746" s="204">
        <f t="shared" si="34"/>
        <v>0</v>
      </c>
      <c r="D746" s="204" t="str">
        <f t="shared" si="35"/>
        <v/>
      </c>
      <c r="E746" s="203" t="str">
        <f t="shared" si="36"/>
        <v/>
      </c>
      <c r="F746" s="228"/>
      <c r="G746" s="206"/>
      <c r="H746" s="206"/>
      <c r="I746" s="242"/>
      <c r="J746" s="273"/>
      <c r="K746" s="266"/>
      <c r="L746" s="258"/>
      <c r="M746" s="274"/>
      <c r="N746" s="251"/>
      <c r="O746" s="251"/>
      <c r="Q746" s="150"/>
      <c r="R746" s="150"/>
      <c r="S746" s="150"/>
      <c r="T746" s="150"/>
      <c r="U746" s="150"/>
      <c r="V746" s="150"/>
      <c r="W746" s="150"/>
      <c r="X746" s="150"/>
      <c r="Y746" s="150"/>
    </row>
    <row r="747" spans="2:25" ht="14.5" x14ac:dyDescent="0.35">
      <c r="B747" s="203">
        <f t="shared" si="37"/>
        <v>735</v>
      </c>
      <c r="C747" s="204">
        <f t="shared" si="34"/>
        <v>0</v>
      </c>
      <c r="D747" s="204" t="str">
        <f t="shared" si="35"/>
        <v/>
      </c>
      <c r="E747" s="203" t="str">
        <f t="shared" si="36"/>
        <v/>
      </c>
      <c r="F747" s="228"/>
      <c r="G747" s="206"/>
      <c r="H747" s="206"/>
      <c r="I747" s="242"/>
      <c r="J747" s="273"/>
      <c r="K747" s="266"/>
      <c r="L747" s="258"/>
      <c r="M747" s="274"/>
      <c r="N747" s="251"/>
      <c r="O747" s="251"/>
      <c r="Q747" s="150"/>
      <c r="R747" s="150"/>
      <c r="S747" s="150"/>
      <c r="T747" s="150"/>
      <c r="U747" s="150"/>
      <c r="V747" s="150"/>
      <c r="W747" s="150"/>
      <c r="X747" s="150"/>
      <c r="Y747" s="150"/>
    </row>
    <row r="748" spans="2:25" ht="14.5" x14ac:dyDescent="0.35">
      <c r="B748" s="203">
        <f t="shared" si="37"/>
        <v>736</v>
      </c>
      <c r="C748" s="204">
        <f t="shared" si="34"/>
        <v>0</v>
      </c>
      <c r="D748" s="204" t="str">
        <f t="shared" si="35"/>
        <v/>
      </c>
      <c r="E748" s="203" t="str">
        <f t="shared" si="36"/>
        <v/>
      </c>
      <c r="F748" s="228"/>
      <c r="G748" s="206"/>
      <c r="H748" s="206"/>
      <c r="I748" s="242"/>
      <c r="J748" s="273"/>
      <c r="K748" s="266"/>
      <c r="L748" s="258"/>
      <c r="M748" s="274"/>
      <c r="N748" s="251"/>
      <c r="O748" s="251"/>
      <c r="Q748" s="150"/>
      <c r="R748" s="150"/>
      <c r="S748" s="150"/>
      <c r="T748" s="150"/>
      <c r="U748" s="150"/>
      <c r="V748" s="150"/>
      <c r="W748" s="150"/>
      <c r="X748" s="150"/>
      <c r="Y748" s="150"/>
    </row>
    <row r="749" spans="2:25" ht="14.5" x14ac:dyDescent="0.35">
      <c r="B749" s="203">
        <f t="shared" si="37"/>
        <v>737</v>
      </c>
      <c r="C749" s="204">
        <f t="shared" si="34"/>
        <v>0</v>
      </c>
      <c r="D749" s="204" t="str">
        <f t="shared" si="35"/>
        <v/>
      </c>
      <c r="E749" s="203" t="str">
        <f t="shared" si="36"/>
        <v/>
      </c>
      <c r="F749" s="228"/>
      <c r="G749" s="206"/>
      <c r="H749" s="206"/>
      <c r="I749" s="242"/>
      <c r="J749" s="273"/>
      <c r="K749" s="266"/>
      <c r="L749" s="258"/>
      <c r="M749" s="274"/>
      <c r="N749" s="251"/>
      <c r="O749" s="251"/>
      <c r="Q749" s="150"/>
      <c r="R749" s="150"/>
      <c r="S749" s="150"/>
      <c r="T749" s="150"/>
      <c r="U749" s="150"/>
      <c r="V749" s="150"/>
      <c r="W749" s="150"/>
      <c r="X749" s="150"/>
      <c r="Y749" s="150"/>
    </row>
    <row r="750" spans="2:25" ht="14.5" x14ac:dyDescent="0.35">
      <c r="B750" s="203">
        <f t="shared" si="37"/>
        <v>738</v>
      </c>
      <c r="C750" s="204">
        <f t="shared" si="34"/>
        <v>0</v>
      </c>
      <c r="D750" s="204" t="str">
        <f t="shared" si="35"/>
        <v/>
      </c>
      <c r="E750" s="203" t="str">
        <f t="shared" si="36"/>
        <v/>
      </c>
      <c r="F750" s="228"/>
      <c r="G750" s="206"/>
      <c r="H750" s="206"/>
      <c r="I750" s="242"/>
      <c r="J750" s="273"/>
      <c r="K750" s="266"/>
      <c r="L750" s="258"/>
      <c r="M750" s="274"/>
      <c r="N750" s="251"/>
      <c r="O750" s="251"/>
      <c r="Q750" s="150"/>
      <c r="R750" s="150"/>
      <c r="S750" s="150"/>
      <c r="T750" s="150"/>
      <c r="U750" s="150"/>
      <c r="V750" s="150"/>
      <c r="W750" s="150"/>
      <c r="X750" s="150"/>
      <c r="Y750" s="150"/>
    </row>
    <row r="751" spans="2:25" ht="14.5" x14ac:dyDescent="0.35">
      <c r="B751" s="203">
        <f t="shared" si="37"/>
        <v>739</v>
      </c>
      <c r="C751" s="204">
        <f t="shared" si="34"/>
        <v>0</v>
      </c>
      <c r="D751" s="204" t="str">
        <f t="shared" si="35"/>
        <v/>
      </c>
      <c r="E751" s="203" t="str">
        <f t="shared" si="36"/>
        <v/>
      </c>
      <c r="F751" s="228"/>
      <c r="G751" s="206"/>
      <c r="H751" s="206"/>
      <c r="I751" s="242"/>
      <c r="J751" s="273"/>
      <c r="K751" s="266"/>
      <c r="L751" s="258"/>
      <c r="M751" s="274"/>
      <c r="N751" s="251"/>
      <c r="O751" s="251"/>
      <c r="Q751" s="150"/>
      <c r="R751" s="150"/>
      <c r="S751" s="150"/>
      <c r="T751" s="150"/>
      <c r="U751" s="150"/>
      <c r="V751" s="150"/>
      <c r="W751" s="150"/>
      <c r="X751" s="150"/>
      <c r="Y751" s="150"/>
    </row>
    <row r="752" spans="2:25" ht="14.5" x14ac:dyDescent="0.35">
      <c r="B752" s="203">
        <f t="shared" si="37"/>
        <v>740</v>
      </c>
      <c r="C752" s="204">
        <f t="shared" si="34"/>
        <v>0</v>
      </c>
      <c r="D752" s="204" t="str">
        <f t="shared" si="35"/>
        <v/>
      </c>
      <c r="E752" s="203" t="str">
        <f t="shared" si="36"/>
        <v/>
      </c>
      <c r="F752" s="228"/>
      <c r="G752" s="206"/>
      <c r="H752" s="206"/>
      <c r="I752" s="242"/>
      <c r="J752" s="273"/>
      <c r="K752" s="266"/>
      <c r="L752" s="258"/>
      <c r="M752" s="274"/>
      <c r="N752" s="251"/>
      <c r="O752" s="251"/>
      <c r="Q752" s="150"/>
      <c r="R752" s="150"/>
      <c r="S752" s="150"/>
      <c r="T752" s="150"/>
      <c r="U752" s="150"/>
      <c r="V752" s="150"/>
      <c r="W752" s="150"/>
      <c r="X752" s="150"/>
      <c r="Y752" s="150"/>
    </row>
    <row r="753" spans="2:25" ht="14.5" x14ac:dyDescent="0.35">
      <c r="B753" s="203">
        <f t="shared" si="37"/>
        <v>741</v>
      </c>
      <c r="C753" s="204">
        <f t="shared" si="34"/>
        <v>0</v>
      </c>
      <c r="D753" s="204" t="str">
        <f t="shared" si="35"/>
        <v/>
      </c>
      <c r="E753" s="203" t="str">
        <f t="shared" si="36"/>
        <v/>
      </c>
      <c r="F753" s="228"/>
      <c r="G753" s="206"/>
      <c r="H753" s="206"/>
      <c r="I753" s="242"/>
      <c r="J753" s="273"/>
      <c r="K753" s="266"/>
      <c r="L753" s="258"/>
      <c r="M753" s="274"/>
      <c r="N753" s="251"/>
      <c r="O753" s="251"/>
      <c r="Q753" s="150"/>
      <c r="R753" s="150"/>
      <c r="S753" s="150"/>
      <c r="T753" s="150"/>
      <c r="U753" s="150"/>
      <c r="V753" s="150"/>
      <c r="W753" s="150"/>
      <c r="X753" s="150"/>
      <c r="Y753" s="150"/>
    </row>
    <row r="754" spans="2:25" ht="14.5" x14ac:dyDescent="0.35">
      <c r="B754" s="203">
        <f t="shared" si="37"/>
        <v>742</v>
      </c>
      <c r="C754" s="204">
        <f t="shared" si="34"/>
        <v>0</v>
      </c>
      <c r="D754" s="204" t="str">
        <f t="shared" si="35"/>
        <v/>
      </c>
      <c r="E754" s="203" t="str">
        <f t="shared" si="36"/>
        <v/>
      </c>
      <c r="F754" s="228"/>
      <c r="G754" s="206"/>
      <c r="H754" s="206"/>
      <c r="I754" s="242"/>
      <c r="J754" s="273"/>
      <c r="K754" s="266"/>
      <c r="L754" s="258"/>
      <c r="M754" s="274"/>
      <c r="N754" s="251"/>
      <c r="O754" s="251"/>
      <c r="Q754" s="150"/>
      <c r="R754" s="150"/>
      <c r="S754" s="150"/>
      <c r="T754" s="150"/>
      <c r="U754" s="150"/>
      <c r="V754" s="150"/>
      <c r="W754" s="150"/>
      <c r="X754" s="150"/>
      <c r="Y754" s="150"/>
    </row>
    <row r="755" spans="2:25" ht="14.5" x14ac:dyDescent="0.35">
      <c r="B755" s="203" t="str">
        <f t="shared" ref="B755:B818" si="38">IF(J755=0,"",B754+1)</f>
        <v/>
      </c>
      <c r="C755" s="204">
        <f t="shared" si="34"/>
        <v>0</v>
      </c>
      <c r="D755" s="204" t="str">
        <f t="shared" si="35"/>
        <v/>
      </c>
      <c r="E755" s="203" t="str">
        <f t="shared" si="36"/>
        <v/>
      </c>
      <c r="F755" s="228"/>
      <c r="G755" s="206"/>
      <c r="H755" s="206"/>
      <c r="I755" s="242"/>
      <c r="J755" s="273"/>
      <c r="K755" s="266"/>
      <c r="L755" s="258"/>
      <c r="M755" s="274"/>
      <c r="N755" s="251"/>
      <c r="O755" s="251"/>
      <c r="Q755" s="150"/>
      <c r="R755" s="150"/>
      <c r="S755" s="150"/>
      <c r="T755" s="150"/>
      <c r="U755" s="150"/>
      <c r="V755" s="150"/>
      <c r="W755" s="150"/>
      <c r="X755" s="150"/>
      <c r="Y755" s="150"/>
    </row>
    <row r="756" spans="2:25" ht="14.5" x14ac:dyDescent="0.35">
      <c r="B756" s="203" t="str">
        <f t="shared" si="38"/>
        <v/>
      </c>
      <c r="C756" s="204">
        <f t="shared" si="34"/>
        <v>0</v>
      </c>
      <c r="D756" s="204" t="str">
        <f t="shared" si="35"/>
        <v/>
      </c>
      <c r="E756" s="203" t="str">
        <f t="shared" si="36"/>
        <v/>
      </c>
      <c r="F756" s="228"/>
      <c r="G756" s="206"/>
      <c r="H756" s="206"/>
      <c r="I756" s="242"/>
      <c r="J756" s="273"/>
      <c r="K756" s="266"/>
      <c r="L756" s="258"/>
      <c r="M756" s="274"/>
      <c r="N756" s="251"/>
      <c r="O756" s="251"/>
      <c r="Q756" s="150"/>
      <c r="R756" s="150"/>
      <c r="S756" s="150"/>
      <c r="T756" s="150"/>
      <c r="U756" s="150"/>
      <c r="V756" s="150"/>
      <c r="W756" s="150"/>
      <c r="X756" s="150"/>
      <c r="Y756" s="150"/>
    </row>
    <row r="757" spans="2:25" ht="14.5" x14ac:dyDescent="0.35">
      <c r="B757" s="203" t="str">
        <f t="shared" si="38"/>
        <v/>
      </c>
      <c r="C757" s="204">
        <f t="shared" si="34"/>
        <v>0</v>
      </c>
      <c r="D757" s="204" t="str">
        <f t="shared" si="35"/>
        <v/>
      </c>
      <c r="E757" s="203" t="str">
        <f t="shared" si="36"/>
        <v/>
      </c>
      <c r="F757" s="228"/>
      <c r="G757" s="206"/>
      <c r="H757" s="206"/>
      <c r="I757" s="242"/>
      <c r="J757" s="273"/>
      <c r="K757" s="266"/>
      <c r="L757" s="258"/>
      <c r="M757" s="274"/>
      <c r="N757" s="251"/>
      <c r="O757" s="251"/>
      <c r="Q757" s="150"/>
      <c r="R757" s="150"/>
      <c r="S757" s="150"/>
      <c r="T757" s="150"/>
      <c r="U757" s="150"/>
      <c r="V757" s="150"/>
      <c r="W757" s="150"/>
      <c r="X757" s="150"/>
      <c r="Y757" s="150"/>
    </row>
    <row r="758" spans="2:25" ht="14.5" x14ac:dyDescent="0.35">
      <c r="B758" s="203" t="str">
        <f t="shared" si="38"/>
        <v/>
      </c>
      <c r="C758" s="204">
        <f t="shared" si="34"/>
        <v>0</v>
      </c>
      <c r="D758" s="204" t="str">
        <f t="shared" si="35"/>
        <v/>
      </c>
      <c r="E758" s="203" t="str">
        <f t="shared" si="36"/>
        <v/>
      </c>
      <c r="F758" s="228"/>
      <c r="G758" s="206"/>
      <c r="H758" s="206"/>
      <c r="I758" s="242"/>
      <c r="J758" s="273"/>
      <c r="K758" s="266"/>
      <c r="L758" s="258"/>
      <c r="M758" s="274"/>
      <c r="N758" s="251"/>
      <c r="O758" s="251"/>
      <c r="Q758" s="150"/>
      <c r="R758" s="150"/>
      <c r="S758" s="150"/>
      <c r="T758" s="150"/>
      <c r="U758" s="150"/>
      <c r="V758" s="150"/>
      <c r="W758" s="150"/>
      <c r="X758" s="150"/>
      <c r="Y758" s="150"/>
    </row>
    <row r="759" spans="2:25" ht="14.5" x14ac:dyDescent="0.35">
      <c r="B759" s="203" t="str">
        <f t="shared" si="38"/>
        <v/>
      </c>
      <c r="C759" s="204">
        <f t="shared" si="34"/>
        <v>0</v>
      </c>
      <c r="D759" s="204" t="str">
        <f t="shared" si="35"/>
        <v/>
      </c>
      <c r="E759" s="203" t="str">
        <f t="shared" si="36"/>
        <v/>
      </c>
      <c r="F759" s="228"/>
      <c r="G759" s="206"/>
      <c r="H759" s="206"/>
      <c r="I759" s="242"/>
      <c r="J759" s="273"/>
      <c r="K759" s="266"/>
      <c r="L759" s="258"/>
      <c r="M759" s="274"/>
      <c r="N759" s="251"/>
      <c r="O759" s="251"/>
      <c r="Q759" s="150"/>
      <c r="R759" s="150"/>
      <c r="S759" s="150"/>
      <c r="T759" s="150"/>
      <c r="U759" s="150"/>
      <c r="V759" s="150"/>
      <c r="W759" s="150"/>
      <c r="X759" s="150"/>
      <c r="Y759" s="150"/>
    </row>
    <row r="760" spans="2:25" ht="14.5" x14ac:dyDescent="0.35">
      <c r="B760" s="203" t="str">
        <f t="shared" si="38"/>
        <v/>
      </c>
      <c r="C760" s="204">
        <f t="shared" si="34"/>
        <v>0</v>
      </c>
      <c r="D760" s="204" t="str">
        <f t="shared" si="35"/>
        <v/>
      </c>
      <c r="E760" s="203" t="str">
        <f t="shared" si="36"/>
        <v/>
      </c>
      <c r="F760" s="228"/>
      <c r="G760" s="206"/>
      <c r="H760" s="206"/>
      <c r="I760" s="242"/>
      <c r="J760" s="273"/>
      <c r="K760" s="266"/>
      <c r="L760" s="258"/>
      <c r="M760" s="274"/>
      <c r="N760" s="251"/>
      <c r="O760" s="251"/>
      <c r="Q760" s="150"/>
      <c r="R760" s="150"/>
      <c r="S760" s="150"/>
      <c r="T760" s="150"/>
      <c r="U760" s="150"/>
      <c r="V760" s="150"/>
      <c r="W760" s="150"/>
      <c r="X760" s="150"/>
      <c r="Y760" s="150"/>
    </row>
    <row r="761" spans="2:25" ht="14.5" x14ac:dyDescent="0.35">
      <c r="B761" s="203" t="str">
        <f t="shared" si="38"/>
        <v/>
      </c>
      <c r="C761" s="204">
        <f t="shared" si="34"/>
        <v>0</v>
      </c>
      <c r="D761" s="204" t="str">
        <f t="shared" si="35"/>
        <v/>
      </c>
      <c r="E761" s="203" t="str">
        <f t="shared" si="36"/>
        <v/>
      </c>
      <c r="F761" s="228"/>
      <c r="G761" s="206"/>
      <c r="H761" s="206"/>
      <c r="I761" s="242"/>
      <c r="J761" s="273"/>
      <c r="K761" s="266"/>
      <c r="L761" s="258"/>
      <c r="M761" s="274"/>
      <c r="N761" s="251"/>
      <c r="O761" s="251"/>
      <c r="Q761" s="150"/>
      <c r="R761" s="150"/>
      <c r="S761" s="150"/>
      <c r="T761" s="150"/>
      <c r="U761" s="150"/>
      <c r="V761" s="150"/>
      <c r="W761" s="150"/>
      <c r="X761" s="150"/>
      <c r="Y761" s="150"/>
    </row>
    <row r="762" spans="2:25" ht="14.5" x14ac:dyDescent="0.35">
      <c r="B762" s="203" t="str">
        <f t="shared" si="38"/>
        <v/>
      </c>
      <c r="C762" s="204">
        <f t="shared" si="34"/>
        <v>0</v>
      </c>
      <c r="D762" s="204" t="str">
        <f t="shared" si="35"/>
        <v/>
      </c>
      <c r="E762" s="203" t="str">
        <f t="shared" si="36"/>
        <v/>
      </c>
      <c r="F762" s="228"/>
      <c r="G762" s="206"/>
      <c r="H762" s="206"/>
      <c r="I762" s="242"/>
      <c r="J762" s="273"/>
      <c r="K762" s="266"/>
      <c r="L762" s="258"/>
      <c r="M762" s="274"/>
      <c r="N762" s="251"/>
      <c r="O762" s="251"/>
      <c r="Q762" s="150"/>
      <c r="R762" s="150"/>
      <c r="S762" s="150"/>
      <c r="T762" s="150"/>
      <c r="U762" s="150"/>
      <c r="V762" s="150"/>
      <c r="W762" s="150"/>
      <c r="X762" s="150"/>
      <c r="Y762" s="150"/>
    </row>
    <row r="763" spans="2:25" ht="14.5" x14ac:dyDescent="0.35">
      <c r="B763" s="203" t="str">
        <f t="shared" si="38"/>
        <v/>
      </c>
      <c r="C763" s="204">
        <f t="shared" si="34"/>
        <v>0</v>
      </c>
      <c r="D763" s="204" t="str">
        <f t="shared" si="35"/>
        <v/>
      </c>
      <c r="E763" s="203" t="str">
        <f t="shared" si="36"/>
        <v/>
      </c>
      <c r="F763" s="228"/>
      <c r="G763" s="206"/>
      <c r="H763" s="206"/>
      <c r="I763" s="242"/>
      <c r="J763" s="273"/>
      <c r="K763" s="266"/>
      <c r="L763" s="258"/>
      <c r="M763" s="274"/>
      <c r="N763" s="251"/>
      <c r="O763" s="251"/>
      <c r="Q763" s="150"/>
      <c r="R763" s="150"/>
      <c r="S763" s="150"/>
      <c r="T763" s="150"/>
      <c r="U763" s="150"/>
      <c r="V763" s="150"/>
      <c r="W763" s="150"/>
      <c r="X763" s="150"/>
      <c r="Y763" s="150"/>
    </row>
    <row r="764" spans="2:25" ht="14.5" x14ac:dyDescent="0.35">
      <c r="B764" s="203" t="str">
        <f t="shared" si="38"/>
        <v/>
      </c>
      <c r="C764" s="204">
        <f t="shared" si="34"/>
        <v>0</v>
      </c>
      <c r="D764" s="204" t="str">
        <f t="shared" si="35"/>
        <v/>
      </c>
      <c r="E764" s="203" t="str">
        <f t="shared" si="36"/>
        <v/>
      </c>
      <c r="F764" s="228"/>
      <c r="G764" s="206"/>
      <c r="H764" s="206"/>
      <c r="I764" s="242"/>
      <c r="J764" s="273"/>
      <c r="K764" s="266"/>
      <c r="L764" s="258"/>
      <c r="M764" s="274"/>
      <c r="N764" s="251"/>
      <c r="O764" s="251"/>
      <c r="Q764" s="150"/>
      <c r="R764" s="150"/>
      <c r="S764" s="150"/>
      <c r="T764" s="150"/>
      <c r="U764" s="150"/>
      <c r="V764" s="150"/>
      <c r="W764" s="150"/>
      <c r="X764" s="150"/>
      <c r="Y764" s="150"/>
    </row>
    <row r="765" spans="2:25" ht="14.5" x14ac:dyDescent="0.35">
      <c r="B765" s="203" t="str">
        <f t="shared" si="38"/>
        <v/>
      </c>
      <c r="C765" s="204">
        <f t="shared" si="34"/>
        <v>0</v>
      </c>
      <c r="D765" s="204" t="str">
        <f t="shared" si="35"/>
        <v/>
      </c>
      <c r="E765" s="203" t="str">
        <f t="shared" si="36"/>
        <v/>
      </c>
      <c r="F765" s="228"/>
      <c r="G765" s="206"/>
      <c r="H765" s="206"/>
      <c r="I765" s="242"/>
      <c r="J765" s="273"/>
      <c r="K765" s="266"/>
      <c r="L765" s="258"/>
      <c r="M765" s="274"/>
      <c r="N765" s="251"/>
      <c r="O765" s="251"/>
      <c r="Q765" s="150"/>
      <c r="R765" s="150"/>
      <c r="S765" s="150"/>
      <c r="T765" s="150"/>
      <c r="U765" s="150"/>
      <c r="V765" s="150"/>
      <c r="W765" s="150"/>
      <c r="X765" s="150"/>
      <c r="Y765" s="150"/>
    </row>
    <row r="766" spans="2:25" ht="14.5" x14ac:dyDescent="0.35">
      <c r="B766" s="203" t="str">
        <f t="shared" si="38"/>
        <v/>
      </c>
      <c r="C766" s="204">
        <f t="shared" si="34"/>
        <v>0</v>
      </c>
      <c r="D766" s="204" t="str">
        <f t="shared" si="35"/>
        <v/>
      </c>
      <c r="E766" s="203" t="str">
        <f t="shared" si="36"/>
        <v/>
      </c>
      <c r="F766" s="228"/>
      <c r="G766" s="206"/>
      <c r="H766" s="206"/>
      <c r="I766" s="242"/>
      <c r="J766" s="273"/>
      <c r="K766" s="266"/>
      <c r="L766" s="258"/>
      <c r="M766" s="274"/>
      <c r="N766" s="251"/>
      <c r="O766" s="251"/>
      <c r="Q766" s="150"/>
      <c r="R766" s="150"/>
      <c r="S766" s="150"/>
      <c r="T766" s="150"/>
      <c r="U766" s="150"/>
      <c r="V766" s="150"/>
      <c r="W766" s="150"/>
      <c r="X766" s="150"/>
      <c r="Y766" s="150"/>
    </row>
    <row r="767" spans="2:25" ht="14.5" x14ac:dyDescent="0.35">
      <c r="B767" s="203" t="str">
        <f t="shared" si="38"/>
        <v/>
      </c>
      <c r="C767" s="204">
        <f t="shared" si="34"/>
        <v>0</v>
      </c>
      <c r="D767" s="204" t="str">
        <f t="shared" si="35"/>
        <v/>
      </c>
      <c r="E767" s="203" t="str">
        <f t="shared" si="36"/>
        <v/>
      </c>
      <c r="F767" s="228"/>
      <c r="G767" s="206"/>
      <c r="H767" s="206"/>
      <c r="I767" s="242"/>
      <c r="J767" s="273"/>
      <c r="K767" s="266"/>
      <c r="L767" s="258"/>
      <c r="M767" s="274"/>
      <c r="N767" s="251"/>
      <c r="O767" s="251"/>
      <c r="Q767" s="150"/>
      <c r="R767" s="150"/>
      <c r="S767" s="150"/>
      <c r="T767" s="150"/>
      <c r="U767" s="150"/>
      <c r="V767" s="150"/>
      <c r="W767" s="150"/>
      <c r="X767" s="150"/>
      <c r="Y767" s="150"/>
    </row>
    <row r="768" spans="2:25" ht="14.5" x14ac:dyDescent="0.35">
      <c r="B768" s="203" t="str">
        <f t="shared" si="38"/>
        <v/>
      </c>
      <c r="C768" s="204">
        <f t="shared" si="34"/>
        <v>0</v>
      </c>
      <c r="D768" s="204" t="str">
        <f t="shared" si="35"/>
        <v/>
      </c>
      <c r="E768" s="203" t="str">
        <f t="shared" si="36"/>
        <v/>
      </c>
      <c r="F768" s="228"/>
      <c r="G768" s="206"/>
      <c r="H768" s="206"/>
      <c r="I768" s="242"/>
      <c r="J768" s="273"/>
      <c r="K768" s="266"/>
      <c r="L768" s="258"/>
      <c r="M768" s="274"/>
      <c r="N768" s="251"/>
      <c r="O768" s="251"/>
      <c r="Q768" s="150"/>
      <c r="R768" s="150"/>
      <c r="S768" s="150"/>
      <c r="T768" s="150"/>
      <c r="U768" s="150"/>
      <c r="V768" s="150"/>
      <c r="W768" s="150"/>
      <c r="X768" s="150"/>
      <c r="Y768" s="150"/>
    </row>
    <row r="769" spans="2:25" ht="14.5" x14ac:dyDescent="0.35">
      <c r="B769" s="203" t="str">
        <f t="shared" si="38"/>
        <v/>
      </c>
      <c r="C769" s="204">
        <f t="shared" si="34"/>
        <v>0</v>
      </c>
      <c r="D769" s="204" t="str">
        <f t="shared" si="35"/>
        <v/>
      </c>
      <c r="E769" s="203" t="str">
        <f t="shared" si="36"/>
        <v/>
      </c>
      <c r="F769" s="228"/>
      <c r="G769" s="206"/>
      <c r="H769" s="206"/>
      <c r="I769" s="242"/>
      <c r="J769" s="273"/>
      <c r="K769" s="266"/>
      <c r="L769" s="258"/>
      <c r="M769" s="274"/>
      <c r="N769" s="251"/>
      <c r="O769" s="251"/>
      <c r="Q769" s="150"/>
      <c r="R769" s="150"/>
      <c r="S769" s="150"/>
      <c r="T769" s="150"/>
      <c r="U769" s="150"/>
      <c r="V769" s="150"/>
      <c r="W769" s="150"/>
      <c r="X769" s="150"/>
      <c r="Y769" s="150"/>
    </row>
    <row r="770" spans="2:25" ht="14.5" x14ac:dyDescent="0.35">
      <c r="B770" s="203" t="str">
        <f t="shared" si="38"/>
        <v/>
      </c>
      <c r="C770" s="204">
        <f t="shared" si="34"/>
        <v>0</v>
      </c>
      <c r="D770" s="204" t="str">
        <f t="shared" si="35"/>
        <v/>
      </c>
      <c r="E770" s="203" t="str">
        <f t="shared" si="36"/>
        <v/>
      </c>
      <c r="F770" s="228"/>
      <c r="G770" s="206"/>
      <c r="H770" s="206"/>
      <c r="I770" s="242"/>
      <c r="J770" s="273"/>
      <c r="K770" s="266"/>
      <c r="L770" s="258"/>
      <c r="M770" s="274"/>
      <c r="N770" s="251"/>
      <c r="O770" s="251"/>
      <c r="Q770" s="150"/>
      <c r="R770" s="150"/>
      <c r="S770" s="150"/>
      <c r="T770" s="150"/>
      <c r="U770" s="150"/>
      <c r="V770" s="150"/>
      <c r="W770" s="150"/>
      <c r="X770" s="150"/>
      <c r="Y770" s="150"/>
    </row>
    <row r="771" spans="2:25" ht="14.5" x14ac:dyDescent="0.35">
      <c r="B771" s="203" t="str">
        <f t="shared" si="38"/>
        <v/>
      </c>
      <c r="C771" s="204">
        <f t="shared" si="34"/>
        <v>0</v>
      </c>
      <c r="D771" s="204" t="str">
        <f t="shared" si="35"/>
        <v/>
      </c>
      <c r="E771" s="203" t="str">
        <f t="shared" si="36"/>
        <v/>
      </c>
      <c r="F771" s="228"/>
      <c r="G771" s="206"/>
      <c r="H771" s="206"/>
      <c r="I771" s="242"/>
      <c r="J771" s="273"/>
      <c r="K771" s="266"/>
      <c r="L771" s="258"/>
      <c r="M771" s="274"/>
      <c r="N771" s="251"/>
      <c r="O771" s="251"/>
      <c r="Q771" s="150"/>
      <c r="R771" s="150"/>
      <c r="S771" s="150"/>
      <c r="T771" s="150"/>
      <c r="U771" s="150"/>
      <c r="V771" s="150"/>
      <c r="W771" s="150"/>
      <c r="X771" s="150"/>
      <c r="Y771" s="150"/>
    </row>
    <row r="772" spans="2:25" ht="14.5" x14ac:dyDescent="0.35">
      <c r="B772" s="203" t="str">
        <f t="shared" si="38"/>
        <v/>
      </c>
      <c r="C772" s="204">
        <f t="shared" si="34"/>
        <v>0</v>
      </c>
      <c r="D772" s="204" t="str">
        <f t="shared" si="35"/>
        <v/>
      </c>
      <c r="E772" s="203" t="str">
        <f t="shared" si="36"/>
        <v/>
      </c>
      <c r="F772" s="228"/>
      <c r="G772" s="206"/>
      <c r="H772" s="206"/>
      <c r="I772" s="242"/>
      <c r="J772" s="273"/>
      <c r="K772" s="266"/>
      <c r="L772" s="258"/>
      <c r="M772" s="274"/>
      <c r="N772" s="251"/>
      <c r="O772" s="251"/>
      <c r="Q772" s="150"/>
      <c r="R772" s="150"/>
      <c r="S772" s="150"/>
      <c r="T772" s="150"/>
      <c r="U772" s="150"/>
      <c r="V772" s="150"/>
      <c r="W772" s="150"/>
      <c r="X772" s="150"/>
      <c r="Y772" s="150"/>
    </row>
    <row r="773" spans="2:25" ht="14.5" x14ac:dyDescent="0.35">
      <c r="B773" s="203" t="str">
        <f t="shared" si="38"/>
        <v/>
      </c>
      <c r="C773" s="204">
        <f t="shared" si="34"/>
        <v>0</v>
      </c>
      <c r="D773" s="204" t="str">
        <f t="shared" si="35"/>
        <v/>
      </c>
      <c r="E773" s="203" t="str">
        <f t="shared" si="36"/>
        <v/>
      </c>
      <c r="F773" s="228"/>
      <c r="G773" s="206"/>
      <c r="H773" s="206"/>
      <c r="I773" s="242"/>
      <c r="J773" s="273"/>
      <c r="K773" s="266"/>
      <c r="L773" s="258"/>
      <c r="M773" s="274"/>
      <c r="N773" s="251"/>
      <c r="O773" s="251"/>
      <c r="Q773" s="150"/>
      <c r="R773" s="150"/>
      <c r="S773" s="150"/>
      <c r="T773" s="150"/>
      <c r="U773" s="150"/>
      <c r="V773" s="150"/>
      <c r="W773" s="150"/>
      <c r="X773" s="150"/>
      <c r="Y773" s="150"/>
    </row>
    <row r="774" spans="2:25" ht="14.5" x14ac:dyDescent="0.35">
      <c r="B774" s="203" t="str">
        <f t="shared" si="38"/>
        <v/>
      </c>
      <c r="C774" s="204">
        <f t="shared" si="34"/>
        <v>0</v>
      </c>
      <c r="D774" s="204" t="str">
        <f t="shared" si="35"/>
        <v/>
      </c>
      <c r="E774" s="203" t="str">
        <f t="shared" si="36"/>
        <v/>
      </c>
      <c r="F774" s="228"/>
      <c r="G774" s="206"/>
      <c r="H774" s="206"/>
      <c r="I774" s="242"/>
      <c r="J774" s="273"/>
      <c r="K774" s="266"/>
      <c r="L774" s="258"/>
      <c r="M774" s="274"/>
      <c r="N774" s="251"/>
      <c r="O774" s="251"/>
      <c r="Q774" s="150"/>
      <c r="R774" s="150"/>
      <c r="S774" s="150"/>
      <c r="T774" s="150"/>
      <c r="U774" s="150"/>
      <c r="V774" s="150"/>
      <c r="W774" s="150"/>
      <c r="X774" s="150"/>
      <c r="Y774" s="150"/>
    </row>
    <row r="775" spans="2:25" ht="14.5" x14ac:dyDescent="0.35">
      <c r="B775" s="203" t="str">
        <f t="shared" si="38"/>
        <v/>
      </c>
      <c r="C775" s="204">
        <f t="shared" si="34"/>
        <v>0</v>
      </c>
      <c r="D775" s="204" t="str">
        <f t="shared" si="35"/>
        <v/>
      </c>
      <c r="E775" s="203" t="str">
        <f t="shared" si="36"/>
        <v/>
      </c>
      <c r="F775" s="228"/>
      <c r="G775" s="206"/>
      <c r="H775" s="206"/>
      <c r="I775" s="242"/>
      <c r="J775" s="273"/>
      <c r="K775" s="266"/>
      <c r="L775" s="258"/>
      <c r="M775" s="274"/>
      <c r="N775" s="251"/>
      <c r="O775" s="251"/>
      <c r="Q775" s="150"/>
      <c r="R775" s="150"/>
      <c r="S775" s="150"/>
      <c r="T775" s="150"/>
      <c r="U775" s="150"/>
      <c r="V775" s="150"/>
      <c r="W775" s="150"/>
      <c r="X775" s="150"/>
      <c r="Y775" s="150"/>
    </row>
    <row r="776" spans="2:25" ht="14.5" x14ac:dyDescent="0.35">
      <c r="B776" s="203" t="str">
        <f t="shared" si="38"/>
        <v/>
      </c>
      <c r="C776" s="204">
        <f t="shared" si="34"/>
        <v>0</v>
      </c>
      <c r="D776" s="204" t="str">
        <f t="shared" si="35"/>
        <v/>
      </c>
      <c r="E776" s="203" t="str">
        <f t="shared" si="36"/>
        <v/>
      </c>
      <c r="F776" s="228"/>
      <c r="G776" s="206"/>
      <c r="H776" s="206"/>
      <c r="I776" s="242"/>
      <c r="J776" s="273"/>
      <c r="K776" s="266"/>
      <c r="L776" s="258"/>
      <c r="M776" s="274"/>
      <c r="N776" s="251"/>
      <c r="O776" s="251"/>
      <c r="Q776" s="150"/>
      <c r="R776" s="150"/>
      <c r="S776" s="150"/>
      <c r="T776" s="150"/>
      <c r="U776" s="150"/>
      <c r="V776" s="150"/>
      <c r="W776" s="150"/>
      <c r="X776" s="150"/>
      <c r="Y776" s="150"/>
    </row>
    <row r="777" spans="2:25" ht="14.5" x14ac:dyDescent="0.35">
      <c r="B777" s="203" t="str">
        <f t="shared" si="38"/>
        <v/>
      </c>
      <c r="C777" s="204">
        <f t="shared" si="34"/>
        <v>0</v>
      </c>
      <c r="D777" s="204" t="str">
        <f t="shared" si="35"/>
        <v/>
      </c>
      <c r="E777" s="203" t="str">
        <f t="shared" si="36"/>
        <v/>
      </c>
      <c r="F777" s="228"/>
      <c r="G777" s="206"/>
      <c r="H777" s="206"/>
      <c r="I777" s="242"/>
      <c r="J777" s="273"/>
      <c r="K777" s="266"/>
      <c r="L777" s="258"/>
      <c r="M777" s="274"/>
      <c r="N777" s="251"/>
      <c r="O777" s="251"/>
      <c r="Q777" s="150"/>
      <c r="R777" s="150"/>
      <c r="S777" s="150"/>
      <c r="T777" s="150"/>
      <c r="U777" s="150"/>
      <c r="V777" s="150"/>
      <c r="W777" s="150"/>
      <c r="X777" s="150"/>
      <c r="Y777" s="150"/>
    </row>
    <row r="778" spans="2:25" ht="14.5" x14ac:dyDescent="0.35">
      <c r="B778" s="203" t="str">
        <f t="shared" si="38"/>
        <v/>
      </c>
      <c r="C778" s="204">
        <f t="shared" si="34"/>
        <v>0</v>
      </c>
      <c r="D778" s="204" t="str">
        <f t="shared" si="35"/>
        <v/>
      </c>
      <c r="E778" s="203" t="str">
        <f t="shared" si="36"/>
        <v/>
      </c>
      <c r="F778" s="228"/>
      <c r="G778" s="206"/>
      <c r="H778" s="206"/>
      <c r="I778" s="242"/>
      <c r="J778" s="273"/>
      <c r="K778" s="266"/>
      <c r="L778" s="258"/>
      <c r="M778" s="274"/>
      <c r="N778" s="251"/>
      <c r="O778" s="251"/>
      <c r="Q778" s="150"/>
      <c r="R778" s="150"/>
      <c r="S778" s="150"/>
      <c r="T778" s="150"/>
      <c r="U778" s="150"/>
      <c r="V778" s="150"/>
      <c r="W778" s="150"/>
      <c r="X778" s="150"/>
      <c r="Y778" s="150"/>
    </row>
    <row r="779" spans="2:25" ht="14.5" x14ac:dyDescent="0.35">
      <c r="B779" s="203" t="str">
        <f t="shared" si="38"/>
        <v/>
      </c>
      <c r="C779" s="204">
        <f t="shared" si="34"/>
        <v>0</v>
      </c>
      <c r="D779" s="204" t="str">
        <f t="shared" si="35"/>
        <v/>
      </c>
      <c r="E779" s="203" t="str">
        <f t="shared" si="36"/>
        <v/>
      </c>
      <c r="F779" s="228"/>
      <c r="G779" s="206"/>
      <c r="H779" s="206"/>
      <c r="I779" s="242"/>
      <c r="J779" s="273"/>
      <c r="K779" s="266"/>
      <c r="L779" s="258"/>
      <c r="M779" s="274"/>
      <c r="N779" s="251"/>
      <c r="O779" s="251"/>
      <c r="Q779" s="150"/>
      <c r="R779" s="150"/>
      <c r="S779" s="150"/>
      <c r="T779" s="150"/>
      <c r="U779" s="150"/>
      <c r="V779" s="150"/>
      <c r="W779" s="150"/>
      <c r="X779" s="150"/>
      <c r="Y779" s="150"/>
    </row>
    <row r="780" spans="2:25" ht="14.5" x14ac:dyDescent="0.35">
      <c r="B780" s="203" t="str">
        <f t="shared" si="38"/>
        <v/>
      </c>
      <c r="C780" s="204">
        <f t="shared" si="34"/>
        <v>0</v>
      </c>
      <c r="D780" s="204" t="str">
        <f t="shared" si="35"/>
        <v/>
      </c>
      <c r="E780" s="203" t="str">
        <f t="shared" si="36"/>
        <v/>
      </c>
      <c r="F780" s="228"/>
      <c r="G780" s="206"/>
      <c r="H780" s="206"/>
      <c r="I780" s="242"/>
      <c r="J780" s="273"/>
      <c r="K780" s="266"/>
      <c r="L780" s="258"/>
      <c r="M780" s="274"/>
      <c r="N780" s="251"/>
      <c r="O780" s="251"/>
      <c r="Q780" s="150"/>
      <c r="R780" s="150"/>
      <c r="S780" s="150"/>
      <c r="T780" s="150"/>
      <c r="U780" s="150"/>
      <c r="V780" s="150"/>
      <c r="W780" s="150"/>
      <c r="X780" s="150"/>
      <c r="Y780" s="150"/>
    </row>
    <row r="781" spans="2:25" ht="14.5" x14ac:dyDescent="0.35">
      <c r="B781" s="203" t="str">
        <f t="shared" si="38"/>
        <v/>
      </c>
      <c r="C781" s="204">
        <f t="shared" ref="C781:C844" si="39">IFERROR(DAY(F781),0)</f>
        <v>0</v>
      </c>
      <c r="D781" s="204" t="str">
        <f t="shared" ref="D781:D844" si="40">IFERROR(IF(F781="","",TEXT(DATE(0,MONTH(F781),1),"MMM")),"date issue")</f>
        <v/>
      </c>
      <c r="E781" s="203" t="str">
        <f t="shared" ref="E781:E844" si="41">IFERROR(IF(OR(C781=1,C781=2,C781=3,C781=4,C781=5,C781=6,C781=7),1,IF(OR(C781=8,C781=9,C781=10,C781=11,C781=12,C781=13,C781=14),2,IF(OR(C781=15,C781=16,C781=17,C781=18,C781=19,C781=20,C781=21),3,IF(OR(C781=22,C781=23,C781=24,C781=25,C781=26,C781=27,C781=28),4,IF(OR(C781=29,C781=30,C781=31),5,""))))),0)</f>
        <v/>
      </c>
      <c r="F781" s="228"/>
      <c r="G781" s="206"/>
      <c r="H781" s="206"/>
      <c r="I781" s="242"/>
      <c r="J781" s="273"/>
      <c r="K781" s="266"/>
      <c r="L781" s="258"/>
      <c r="M781" s="274"/>
      <c r="N781" s="251"/>
      <c r="O781" s="251"/>
      <c r="Q781" s="150"/>
      <c r="R781" s="150"/>
      <c r="S781" s="150"/>
      <c r="T781" s="150"/>
      <c r="U781" s="150"/>
      <c r="V781" s="150"/>
      <c r="W781" s="150"/>
      <c r="X781" s="150"/>
      <c r="Y781" s="150"/>
    </row>
    <row r="782" spans="2:25" ht="14.5" x14ac:dyDescent="0.35">
      <c r="B782" s="203" t="str">
        <f t="shared" si="38"/>
        <v/>
      </c>
      <c r="C782" s="204">
        <f t="shared" si="39"/>
        <v>0</v>
      </c>
      <c r="D782" s="204" t="str">
        <f t="shared" si="40"/>
        <v/>
      </c>
      <c r="E782" s="203" t="str">
        <f t="shared" si="41"/>
        <v/>
      </c>
      <c r="F782" s="228"/>
      <c r="G782" s="206"/>
      <c r="H782" s="206"/>
      <c r="I782" s="242"/>
      <c r="J782" s="273"/>
      <c r="K782" s="266"/>
      <c r="L782" s="258"/>
      <c r="M782" s="274"/>
      <c r="N782" s="251"/>
      <c r="O782" s="251"/>
      <c r="Q782" s="150"/>
      <c r="R782" s="150"/>
      <c r="S782" s="150"/>
      <c r="T782" s="150"/>
      <c r="U782" s="150"/>
      <c r="V782" s="150"/>
      <c r="W782" s="150"/>
      <c r="X782" s="150"/>
      <c r="Y782" s="150"/>
    </row>
    <row r="783" spans="2:25" ht="14.5" x14ac:dyDescent="0.35">
      <c r="B783" s="203" t="str">
        <f t="shared" si="38"/>
        <v/>
      </c>
      <c r="C783" s="204">
        <f t="shared" si="39"/>
        <v>0</v>
      </c>
      <c r="D783" s="204" t="str">
        <f t="shared" si="40"/>
        <v/>
      </c>
      <c r="E783" s="203" t="str">
        <f t="shared" si="41"/>
        <v/>
      </c>
      <c r="F783" s="228"/>
      <c r="G783" s="206"/>
      <c r="H783" s="206"/>
      <c r="I783" s="242"/>
      <c r="J783" s="273"/>
      <c r="K783" s="266"/>
      <c r="L783" s="258"/>
      <c r="M783" s="274"/>
      <c r="N783" s="251"/>
      <c r="O783" s="251"/>
      <c r="Q783" s="150"/>
      <c r="R783" s="150"/>
      <c r="S783" s="150"/>
      <c r="T783" s="150"/>
      <c r="U783" s="150"/>
      <c r="V783" s="150"/>
      <c r="W783" s="150"/>
      <c r="X783" s="150"/>
      <c r="Y783" s="150"/>
    </row>
    <row r="784" spans="2:25" ht="14.5" x14ac:dyDescent="0.35">
      <c r="B784" s="203" t="str">
        <f t="shared" si="38"/>
        <v/>
      </c>
      <c r="C784" s="204">
        <f t="shared" si="39"/>
        <v>0</v>
      </c>
      <c r="D784" s="204" t="str">
        <f t="shared" si="40"/>
        <v/>
      </c>
      <c r="E784" s="203" t="str">
        <f t="shared" si="41"/>
        <v/>
      </c>
      <c r="F784" s="228"/>
      <c r="G784" s="206"/>
      <c r="H784" s="206"/>
      <c r="I784" s="242"/>
      <c r="J784" s="273"/>
      <c r="K784" s="266"/>
      <c r="L784" s="258"/>
      <c r="M784" s="274"/>
      <c r="N784" s="251"/>
      <c r="O784" s="251"/>
      <c r="Q784" s="150"/>
      <c r="R784" s="150"/>
      <c r="S784" s="150"/>
      <c r="T784" s="150"/>
      <c r="U784" s="150"/>
      <c r="V784" s="150"/>
      <c r="W784" s="150"/>
      <c r="X784" s="150"/>
      <c r="Y784" s="150"/>
    </row>
    <row r="785" spans="2:25" ht="14.5" x14ac:dyDescent="0.35">
      <c r="B785" s="203" t="str">
        <f t="shared" si="38"/>
        <v/>
      </c>
      <c r="C785" s="204">
        <f t="shared" si="39"/>
        <v>0</v>
      </c>
      <c r="D785" s="204" t="str">
        <f t="shared" si="40"/>
        <v/>
      </c>
      <c r="E785" s="203" t="str">
        <f t="shared" si="41"/>
        <v/>
      </c>
      <c r="F785" s="228"/>
      <c r="G785" s="206"/>
      <c r="H785" s="206"/>
      <c r="I785" s="242"/>
      <c r="J785" s="273"/>
      <c r="K785" s="266"/>
      <c r="L785" s="258"/>
      <c r="M785" s="274"/>
      <c r="N785" s="251"/>
      <c r="O785" s="251"/>
      <c r="Q785" s="150"/>
      <c r="R785" s="150"/>
      <c r="S785" s="150"/>
      <c r="T785" s="150"/>
      <c r="U785" s="150"/>
      <c r="V785" s="150"/>
      <c r="W785" s="150"/>
      <c r="X785" s="150"/>
      <c r="Y785" s="150"/>
    </row>
    <row r="786" spans="2:25" ht="14.5" x14ac:dyDescent="0.35">
      <c r="B786" s="203" t="str">
        <f t="shared" si="38"/>
        <v/>
      </c>
      <c r="C786" s="204">
        <f t="shared" si="39"/>
        <v>0</v>
      </c>
      <c r="D786" s="204" t="str">
        <f t="shared" si="40"/>
        <v/>
      </c>
      <c r="E786" s="203" t="str">
        <f t="shared" si="41"/>
        <v/>
      </c>
      <c r="F786" s="228"/>
      <c r="G786" s="206"/>
      <c r="H786" s="206"/>
      <c r="I786" s="242"/>
      <c r="J786" s="273"/>
      <c r="K786" s="266"/>
      <c r="L786" s="258"/>
      <c r="M786" s="274"/>
      <c r="N786" s="251"/>
      <c r="O786" s="251"/>
      <c r="Q786" s="150"/>
      <c r="R786" s="150"/>
      <c r="S786" s="150"/>
      <c r="T786" s="150"/>
      <c r="U786" s="150"/>
      <c r="V786" s="150"/>
      <c r="W786" s="150"/>
      <c r="X786" s="150"/>
      <c r="Y786" s="150"/>
    </row>
    <row r="787" spans="2:25" ht="14.5" x14ac:dyDescent="0.35">
      <c r="B787" s="203" t="str">
        <f t="shared" si="38"/>
        <v/>
      </c>
      <c r="C787" s="204">
        <f t="shared" si="39"/>
        <v>0</v>
      </c>
      <c r="D787" s="204" t="str">
        <f t="shared" si="40"/>
        <v/>
      </c>
      <c r="E787" s="203" t="str">
        <f t="shared" si="41"/>
        <v/>
      </c>
      <c r="F787" s="228"/>
      <c r="G787" s="206"/>
      <c r="H787" s="206"/>
      <c r="I787" s="242"/>
      <c r="J787" s="273"/>
      <c r="K787" s="266"/>
      <c r="L787" s="258"/>
      <c r="M787" s="274"/>
      <c r="N787" s="251"/>
      <c r="O787" s="251"/>
      <c r="Q787" s="150"/>
      <c r="R787" s="150"/>
      <c r="S787" s="150"/>
      <c r="T787" s="150"/>
      <c r="U787" s="150"/>
      <c r="V787" s="150"/>
      <c r="W787" s="150"/>
      <c r="X787" s="150"/>
      <c r="Y787" s="150"/>
    </row>
    <row r="788" spans="2:25" ht="14.5" x14ac:dyDescent="0.35">
      <c r="B788" s="203" t="str">
        <f t="shared" si="38"/>
        <v/>
      </c>
      <c r="C788" s="204">
        <f t="shared" si="39"/>
        <v>0</v>
      </c>
      <c r="D788" s="204" t="str">
        <f t="shared" si="40"/>
        <v/>
      </c>
      <c r="E788" s="203" t="str">
        <f t="shared" si="41"/>
        <v/>
      </c>
      <c r="F788" s="228"/>
      <c r="G788" s="206"/>
      <c r="H788" s="206"/>
      <c r="I788" s="242"/>
      <c r="J788" s="273"/>
      <c r="K788" s="266"/>
      <c r="L788" s="258"/>
      <c r="M788" s="274"/>
      <c r="N788" s="251"/>
      <c r="O788" s="251"/>
      <c r="Q788" s="150"/>
      <c r="R788" s="150"/>
      <c r="S788" s="150"/>
      <c r="T788" s="150"/>
      <c r="U788" s="150"/>
      <c r="V788" s="150"/>
      <c r="W788" s="150"/>
      <c r="X788" s="150"/>
      <c r="Y788" s="150"/>
    </row>
    <row r="789" spans="2:25" ht="14.5" x14ac:dyDescent="0.35">
      <c r="B789" s="203" t="str">
        <f t="shared" si="38"/>
        <v/>
      </c>
      <c r="C789" s="204">
        <f t="shared" si="39"/>
        <v>0</v>
      </c>
      <c r="D789" s="204" t="str">
        <f t="shared" si="40"/>
        <v/>
      </c>
      <c r="E789" s="203" t="str">
        <f t="shared" si="41"/>
        <v/>
      </c>
      <c r="F789" s="228"/>
      <c r="G789" s="206"/>
      <c r="H789" s="206"/>
      <c r="I789" s="242"/>
      <c r="J789" s="273"/>
      <c r="K789" s="266"/>
      <c r="L789" s="258"/>
      <c r="M789" s="274"/>
      <c r="N789" s="251"/>
      <c r="O789" s="251"/>
      <c r="Q789" s="150"/>
      <c r="R789" s="150"/>
      <c r="S789" s="150"/>
      <c r="T789" s="150"/>
      <c r="U789" s="150"/>
      <c r="V789" s="150"/>
      <c r="W789" s="150"/>
      <c r="X789" s="150"/>
      <c r="Y789" s="150"/>
    </row>
    <row r="790" spans="2:25" ht="14.5" x14ac:dyDescent="0.35">
      <c r="B790" s="203" t="str">
        <f t="shared" si="38"/>
        <v/>
      </c>
      <c r="C790" s="204">
        <f t="shared" si="39"/>
        <v>0</v>
      </c>
      <c r="D790" s="204" t="str">
        <f t="shared" si="40"/>
        <v/>
      </c>
      <c r="E790" s="203" t="str">
        <f t="shared" si="41"/>
        <v/>
      </c>
      <c r="F790" s="228"/>
      <c r="G790" s="206"/>
      <c r="H790" s="206"/>
      <c r="I790" s="242"/>
      <c r="J790" s="273"/>
      <c r="K790" s="266"/>
      <c r="L790" s="258"/>
      <c r="M790" s="274"/>
      <c r="N790" s="251"/>
      <c r="O790" s="251"/>
      <c r="Q790" s="150"/>
      <c r="R790" s="150"/>
      <c r="S790" s="150"/>
      <c r="T790" s="150"/>
      <c r="U790" s="150"/>
      <c r="V790" s="150"/>
      <c r="W790" s="150"/>
      <c r="X790" s="150"/>
      <c r="Y790" s="150"/>
    </row>
    <row r="791" spans="2:25" ht="14.5" x14ac:dyDescent="0.35">
      <c r="B791" s="203" t="str">
        <f t="shared" si="38"/>
        <v/>
      </c>
      <c r="C791" s="204">
        <f t="shared" si="39"/>
        <v>0</v>
      </c>
      <c r="D791" s="204" t="str">
        <f t="shared" si="40"/>
        <v/>
      </c>
      <c r="E791" s="203" t="str">
        <f t="shared" si="41"/>
        <v/>
      </c>
      <c r="F791" s="228"/>
      <c r="G791" s="206"/>
      <c r="H791" s="206"/>
      <c r="I791" s="242"/>
      <c r="J791" s="273"/>
      <c r="K791" s="266"/>
      <c r="L791" s="258"/>
      <c r="M791" s="274"/>
      <c r="N791" s="251"/>
      <c r="O791" s="251"/>
      <c r="Q791" s="150"/>
      <c r="R791" s="150"/>
      <c r="S791" s="150"/>
      <c r="T791" s="150"/>
      <c r="U791" s="150"/>
      <c r="V791" s="150"/>
      <c r="W791" s="150"/>
      <c r="X791" s="150"/>
      <c r="Y791" s="150"/>
    </row>
    <row r="792" spans="2:25" ht="14.5" x14ac:dyDescent="0.35">
      <c r="B792" s="203" t="str">
        <f t="shared" si="38"/>
        <v/>
      </c>
      <c r="C792" s="204">
        <f t="shared" si="39"/>
        <v>0</v>
      </c>
      <c r="D792" s="204" t="str">
        <f t="shared" si="40"/>
        <v/>
      </c>
      <c r="E792" s="203" t="str">
        <f t="shared" si="41"/>
        <v/>
      </c>
      <c r="F792" s="228"/>
      <c r="G792" s="206"/>
      <c r="H792" s="206"/>
      <c r="I792" s="242"/>
      <c r="J792" s="273"/>
      <c r="K792" s="266"/>
      <c r="L792" s="258"/>
      <c r="M792" s="274"/>
      <c r="N792" s="251"/>
      <c r="O792" s="251"/>
      <c r="Q792" s="150"/>
      <c r="R792" s="150"/>
      <c r="S792" s="150"/>
      <c r="T792" s="150"/>
      <c r="U792" s="150"/>
      <c r="V792" s="150"/>
      <c r="W792" s="150"/>
      <c r="X792" s="150"/>
      <c r="Y792" s="150"/>
    </row>
    <row r="793" spans="2:25" ht="14.5" x14ac:dyDescent="0.35">
      <c r="B793" s="203" t="str">
        <f t="shared" si="38"/>
        <v/>
      </c>
      <c r="C793" s="204">
        <f t="shared" si="39"/>
        <v>0</v>
      </c>
      <c r="D793" s="204" t="str">
        <f t="shared" si="40"/>
        <v/>
      </c>
      <c r="E793" s="203" t="str">
        <f t="shared" si="41"/>
        <v/>
      </c>
      <c r="F793" s="228"/>
      <c r="G793" s="206"/>
      <c r="H793" s="206"/>
      <c r="I793" s="242"/>
      <c r="J793" s="273"/>
      <c r="K793" s="266"/>
      <c r="L793" s="258"/>
      <c r="M793" s="274"/>
      <c r="N793" s="251"/>
      <c r="O793" s="251"/>
      <c r="Q793" s="150"/>
      <c r="R793" s="150"/>
      <c r="S793" s="150"/>
      <c r="T793" s="150"/>
      <c r="U793" s="150"/>
      <c r="V793" s="150"/>
      <c r="W793" s="150"/>
      <c r="X793" s="150"/>
      <c r="Y793" s="150"/>
    </row>
    <row r="794" spans="2:25" ht="14.5" x14ac:dyDescent="0.35">
      <c r="B794" s="203" t="str">
        <f t="shared" si="38"/>
        <v/>
      </c>
      <c r="C794" s="204">
        <f t="shared" si="39"/>
        <v>0</v>
      </c>
      <c r="D794" s="204" t="str">
        <f t="shared" si="40"/>
        <v/>
      </c>
      <c r="E794" s="203" t="str">
        <f t="shared" si="41"/>
        <v/>
      </c>
      <c r="F794" s="228"/>
      <c r="G794" s="206"/>
      <c r="H794" s="206"/>
      <c r="I794" s="242"/>
      <c r="J794" s="273"/>
      <c r="K794" s="266"/>
      <c r="L794" s="258"/>
      <c r="M794" s="274"/>
      <c r="N794" s="251"/>
      <c r="O794" s="251"/>
      <c r="Q794" s="150"/>
      <c r="R794" s="150"/>
      <c r="S794" s="150"/>
      <c r="T794" s="150"/>
      <c r="U794" s="150"/>
      <c r="V794" s="150"/>
      <c r="W794" s="150"/>
      <c r="X794" s="150"/>
      <c r="Y794" s="150"/>
    </row>
    <row r="795" spans="2:25" ht="14.5" x14ac:dyDescent="0.35">
      <c r="B795" s="203" t="str">
        <f t="shared" si="38"/>
        <v/>
      </c>
      <c r="C795" s="204">
        <f t="shared" si="39"/>
        <v>0</v>
      </c>
      <c r="D795" s="204" t="str">
        <f t="shared" si="40"/>
        <v/>
      </c>
      <c r="E795" s="203" t="str">
        <f t="shared" si="41"/>
        <v/>
      </c>
      <c r="F795" s="228"/>
      <c r="G795" s="206"/>
      <c r="H795" s="206"/>
      <c r="I795" s="242"/>
      <c r="J795" s="273"/>
      <c r="K795" s="266"/>
      <c r="L795" s="258"/>
      <c r="M795" s="274"/>
      <c r="N795" s="251"/>
      <c r="O795" s="251"/>
      <c r="Q795" s="150"/>
      <c r="R795" s="150"/>
      <c r="S795" s="150"/>
      <c r="T795" s="150"/>
      <c r="U795" s="150"/>
      <c r="V795" s="150"/>
      <c r="W795" s="150"/>
      <c r="X795" s="150"/>
      <c r="Y795" s="150"/>
    </row>
    <row r="796" spans="2:25" ht="14.5" x14ac:dyDescent="0.35">
      <c r="B796" s="203" t="str">
        <f t="shared" si="38"/>
        <v/>
      </c>
      <c r="C796" s="204">
        <f t="shared" si="39"/>
        <v>0</v>
      </c>
      <c r="D796" s="204" t="str">
        <f t="shared" si="40"/>
        <v/>
      </c>
      <c r="E796" s="203" t="str">
        <f t="shared" si="41"/>
        <v/>
      </c>
      <c r="F796" s="228"/>
      <c r="G796" s="206"/>
      <c r="H796" s="206"/>
      <c r="I796" s="242"/>
      <c r="J796" s="273"/>
      <c r="K796" s="266"/>
      <c r="L796" s="258"/>
      <c r="M796" s="274"/>
      <c r="N796" s="251"/>
      <c r="O796" s="251"/>
      <c r="Q796" s="150"/>
      <c r="R796" s="150"/>
      <c r="S796" s="150"/>
      <c r="T796" s="150"/>
      <c r="U796" s="150"/>
      <c r="V796" s="150"/>
      <c r="W796" s="150"/>
      <c r="X796" s="150"/>
      <c r="Y796" s="150"/>
    </row>
    <row r="797" spans="2:25" ht="14.5" x14ac:dyDescent="0.35">
      <c r="B797" s="203" t="str">
        <f t="shared" si="38"/>
        <v/>
      </c>
      <c r="C797" s="204">
        <f t="shared" si="39"/>
        <v>0</v>
      </c>
      <c r="D797" s="204" t="str">
        <f t="shared" si="40"/>
        <v/>
      </c>
      <c r="E797" s="203" t="str">
        <f t="shared" si="41"/>
        <v/>
      </c>
      <c r="F797" s="228"/>
      <c r="G797" s="206"/>
      <c r="H797" s="206"/>
      <c r="I797" s="242"/>
      <c r="J797" s="273"/>
      <c r="K797" s="266"/>
      <c r="L797" s="258"/>
      <c r="M797" s="274"/>
      <c r="N797" s="251"/>
      <c r="O797" s="251"/>
      <c r="Q797" s="150"/>
      <c r="R797" s="150"/>
      <c r="S797" s="150"/>
      <c r="T797" s="150"/>
      <c r="U797" s="150"/>
      <c r="V797" s="150"/>
      <c r="W797" s="150"/>
      <c r="X797" s="150"/>
      <c r="Y797" s="150"/>
    </row>
    <row r="798" spans="2:25" ht="14.5" x14ac:dyDescent="0.35">
      <c r="B798" s="203" t="str">
        <f t="shared" si="38"/>
        <v/>
      </c>
      <c r="C798" s="204">
        <f t="shared" si="39"/>
        <v>0</v>
      </c>
      <c r="D798" s="204" t="str">
        <f t="shared" si="40"/>
        <v/>
      </c>
      <c r="E798" s="203" t="str">
        <f t="shared" si="41"/>
        <v/>
      </c>
      <c r="F798" s="228"/>
      <c r="G798" s="206"/>
      <c r="H798" s="206"/>
      <c r="I798" s="242"/>
      <c r="J798" s="273"/>
      <c r="K798" s="266"/>
      <c r="L798" s="258"/>
      <c r="M798" s="274"/>
      <c r="N798" s="251"/>
      <c r="O798" s="251"/>
      <c r="Q798" s="150"/>
      <c r="R798" s="150"/>
      <c r="S798" s="150"/>
      <c r="T798" s="150"/>
      <c r="U798" s="150"/>
      <c r="V798" s="150"/>
      <c r="W798" s="150"/>
      <c r="X798" s="150"/>
      <c r="Y798" s="150"/>
    </row>
    <row r="799" spans="2:25" ht="14.5" x14ac:dyDescent="0.35">
      <c r="B799" s="203" t="str">
        <f t="shared" si="38"/>
        <v/>
      </c>
      <c r="C799" s="204">
        <f t="shared" si="39"/>
        <v>0</v>
      </c>
      <c r="D799" s="204" t="str">
        <f t="shared" si="40"/>
        <v/>
      </c>
      <c r="E799" s="203" t="str">
        <f t="shared" si="41"/>
        <v/>
      </c>
      <c r="F799" s="228"/>
      <c r="G799" s="206"/>
      <c r="H799" s="206"/>
      <c r="I799" s="242"/>
      <c r="J799" s="273"/>
      <c r="K799" s="266"/>
      <c r="L799" s="258"/>
      <c r="M799" s="274"/>
      <c r="N799" s="251"/>
      <c r="O799" s="251"/>
      <c r="Q799" s="150"/>
      <c r="R799" s="150"/>
      <c r="S799" s="150"/>
      <c r="T799" s="150"/>
      <c r="U799" s="150"/>
      <c r="V799" s="150"/>
      <c r="W799" s="150"/>
      <c r="X799" s="150"/>
      <c r="Y799" s="150"/>
    </row>
    <row r="800" spans="2:25" ht="14.5" x14ac:dyDescent="0.35">
      <c r="B800" s="203" t="str">
        <f t="shared" si="38"/>
        <v/>
      </c>
      <c r="C800" s="204">
        <f t="shared" si="39"/>
        <v>0</v>
      </c>
      <c r="D800" s="204" t="str">
        <f t="shared" si="40"/>
        <v/>
      </c>
      <c r="E800" s="203" t="str">
        <f t="shared" si="41"/>
        <v/>
      </c>
      <c r="F800" s="228"/>
      <c r="G800" s="206"/>
      <c r="H800" s="206"/>
      <c r="I800" s="242"/>
      <c r="J800" s="273"/>
      <c r="K800" s="266"/>
      <c r="L800" s="258"/>
      <c r="M800" s="274"/>
      <c r="N800" s="251"/>
      <c r="O800" s="251"/>
      <c r="Q800" s="150"/>
      <c r="R800" s="150"/>
      <c r="S800" s="150"/>
      <c r="T800" s="150"/>
      <c r="U800" s="150"/>
      <c r="V800" s="150"/>
      <c r="W800" s="150"/>
      <c r="X800" s="150"/>
      <c r="Y800" s="150"/>
    </row>
    <row r="801" spans="2:25" ht="14.5" x14ac:dyDescent="0.35">
      <c r="B801" s="203" t="str">
        <f t="shared" si="38"/>
        <v/>
      </c>
      <c r="C801" s="204">
        <f t="shared" si="39"/>
        <v>0</v>
      </c>
      <c r="D801" s="204" t="str">
        <f t="shared" si="40"/>
        <v/>
      </c>
      <c r="E801" s="203" t="str">
        <f t="shared" si="41"/>
        <v/>
      </c>
      <c r="F801" s="228"/>
      <c r="G801" s="206"/>
      <c r="H801" s="206"/>
      <c r="I801" s="242"/>
      <c r="J801" s="273"/>
      <c r="K801" s="266"/>
      <c r="L801" s="258"/>
      <c r="M801" s="274"/>
      <c r="N801" s="251"/>
      <c r="O801" s="251"/>
      <c r="Q801" s="150"/>
      <c r="R801" s="150"/>
      <c r="S801" s="150"/>
      <c r="T801" s="150"/>
      <c r="U801" s="150"/>
      <c r="V801" s="150"/>
      <c r="W801" s="150"/>
      <c r="X801" s="150"/>
      <c r="Y801" s="150"/>
    </row>
    <row r="802" spans="2:25" ht="14.5" x14ac:dyDescent="0.35">
      <c r="B802" s="203" t="str">
        <f t="shared" si="38"/>
        <v/>
      </c>
      <c r="C802" s="204">
        <f t="shared" si="39"/>
        <v>0</v>
      </c>
      <c r="D802" s="204" t="str">
        <f t="shared" si="40"/>
        <v/>
      </c>
      <c r="E802" s="203" t="str">
        <f t="shared" si="41"/>
        <v/>
      </c>
      <c r="F802" s="228"/>
      <c r="G802" s="206"/>
      <c r="H802" s="206"/>
      <c r="I802" s="242"/>
      <c r="J802" s="273"/>
      <c r="K802" s="266"/>
      <c r="L802" s="258"/>
      <c r="M802" s="274"/>
      <c r="N802" s="251"/>
      <c r="O802" s="251"/>
      <c r="Q802" s="150"/>
      <c r="R802" s="150"/>
      <c r="S802" s="150"/>
      <c r="T802" s="150"/>
      <c r="U802" s="150"/>
      <c r="V802" s="150"/>
      <c r="W802" s="150"/>
      <c r="X802" s="150"/>
      <c r="Y802" s="150"/>
    </row>
    <row r="803" spans="2:25" ht="14.5" x14ac:dyDescent="0.35">
      <c r="B803" s="203" t="str">
        <f t="shared" si="38"/>
        <v/>
      </c>
      <c r="C803" s="204">
        <f t="shared" si="39"/>
        <v>0</v>
      </c>
      <c r="D803" s="204" t="str">
        <f t="shared" si="40"/>
        <v/>
      </c>
      <c r="E803" s="203" t="str">
        <f t="shared" si="41"/>
        <v/>
      </c>
      <c r="F803" s="228"/>
      <c r="G803" s="206"/>
      <c r="H803" s="206"/>
      <c r="I803" s="242"/>
      <c r="J803" s="273"/>
      <c r="K803" s="266"/>
      <c r="L803" s="258"/>
      <c r="M803" s="274"/>
      <c r="N803" s="251"/>
      <c r="O803" s="251"/>
      <c r="Q803" s="150"/>
      <c r="R803" s="150"/>
      <c r="S803" s="150"/>
      <c r="T803" s="150"/>
      <c r="U803" s="150"/>
      <c r="V803" s="150"/>
      <c r="W803" s="150"/>
      <c r="X803" s="150"/>
      <c r="Y803" s="150"/>
    </row>
    <row r="804" spans="2:25" ht="14.5" x14ac:dyDescent="0.35">
      <c r="B804" s="203" t="str">
        <f t="shared" si="38"/>
        <v/>
      </c>
      <c r="C804" s="204">
        <f t="shared" si="39"/>
        <v>0</v>
      </c>
      <c r="D804" s="204" t="str">
        <f t="shared" si="40"/>
        <v/>
      </c>
      <c r="E804" s="203" t="str">
        <f t="shared" si="41"/>
        <v/>
      </c>
      <c r="F804" s="228"/>
      <c r="G804" s="206"/>
      <c r="H804" s="206"/>
      <c r="I804" s="242"/>
      <c r="J804" s="273"/>
      <c r="K804" s="266"/>
      <c r="L804" s="258"/>
      <c r="M804" s="274"/>
      <c r="N804" s="251"/>
      <c r="O804" s="251"/>
      <c r="Q804" s="150"/>
      <c r="R804" s="150"/>
      <c r="S804" s="150"/>
      <c r="T804" s="150"/>
      <c r="U804" s="150"/>
      <c r="V804" s="150"/>
      <c r="W804" s="150"/>
      <c r="X804" s="150"/>
      <c r="Y804" s="150"/>
    </row>
    <row r="805" spans="2:25" ht="14.5" x14ac:dyDescent="0.35">
      <c r="B805" s="203" t="str">
        <f t="shared" si="38"/>
        <v/>
      </c>
      <c r="C805" s="204">
        <f t="shared" si="39"/>
        <v>0</v>
      </c>
      <c r="D805" s="204" t="str">
        <f t="shared" si="40"/>
        <v/>
      </c>
      <c r="E805" s="203" t="str">
        <f t="shared" si="41"/>
        <v/>
      </c>
      <c r="F805" s="228"/>
      <c r="G805" s="206"/>
      <c r="H805" s="206"/>
      <c r="I805" s="242"/>
      <c r="J805" s="273"/>
      <c r="K805" s="266"/>
      <c r="L805" s="258"/>
      <c r="M805" s="274"/>
      <c r="N805" s="251"/>
      <c r="O805" s="251"/>
      <c r="Q805" s="150"/>
      <c r="R805" s="150"/>
      <c r="S805" s="150"/>
      <c r="T805" s="150"/>
      <c r="U805" s="150"/>
      <c r="V805" s="150"/>
      <c r="W805" s="150"/>
      <c r="X805" s="150"/>
      <c r="Y805" s="150"/>
    </row>
    <row r="806" spans="2:25" ht="14.5" x14ac:dyDescent="0.35">
      <c r="B806" s="203" t="str">
        <f t="shared" si="38"/>
        <v/>
      </c>
      <c r="C806" s="204">
        <f t="shared" si="39"/>
        <v>0</v>
      </c>
      <c r="D806" s="204" t="str">
        <f t="shared" si="40"/>
        <v/>
      </c>
      <c r="E806" s="203" t="str">
        <f t="shared" si="41"/>
        <v/>
      </c>
      <c r="F806" s="228"/>
      <c r="G806" s="206"/>
      <c r="H806" s="206"/>
      <c r="I806" s="242"/>
      <c r="J806" s="273"/>
      <c r="K806" s="266"/>
      <c r="L806" s="258"/>
      <c r="M806" s="274"/>
      <c r="N806" s="251"/>
      <c r="O806" s="251"/>
      <c r="Q806" s="150"/>
      <c r="R806" s="150"/>
      <c r="S806" s="150"/>
      <c r="T806" s="150"/>
      <c r="U806" s="150"/>
      <c r="V806" s="150"/>
      <c r="W806" s="150"/>
      <c r="X806" s="150"/>
      <c r="Y806" s="150"/>
    </row>
    <row r="807" spans="2:25" ht="14.5" x14ac:dyDescent="0.35">
      <c r="B807" s="203" t="str">
        <f t="shared" si="38"/>
        <v/>
      </c>
      <c r="C807" s="204">
        <f t="shared" si="39"/>
        <v>0</v>
      </c>
      <c r="D807" s="204" t="str">
        <f t="shared" si="40"/>
        <v/>
      </c>
      <c r="E807" s="203" t="str">
        <f t="shared" si="41"/>
        <v/>
      </c>
      <c r="F807" s="228"/>
      <c r="G807" s="206"/>
      <c r="H807" s="206"/>
      <c r="I807" s="242"/>
      <c r="J807" s="273"/>
      <c r="K807" s="266"/>
      <c r="L807" s="258"/>
      <c r="M807" s="274"/>
      <c r="N807" s="251"/>
      <c r="O807" s="251"/>
      <c r="Q807" s="150"/>
      <c r="R807" s="150"/>
      <c r="S807" s="150"/>
      <c r="T807" s="150"/>
      <c r="U807" s="150"/>
      <c r="V807" s="150"/>
      <c r="W807" s="150"/>
      <c r="X807" s="150"/>
      <c r="Y807" s="150"/>
    </row>
    <row r="808" spans="2:25" ht="14.5" x14ac:dyDescent="0.35">
      <c r="B808" s="203" t="str">
        <f t="shared" si="38"/>
        <v/>
      </c>
      <c r="C808" s="204">
        <f t="shared" si="39"/>
        <v>0</v>
      </c>
      <c r="D808" s="204" t="str">
        <f t="shared" si="40"/>
        <v/>
      </c>
      <c r="E808" s="203" t="str">
        <f t="shared" si="41"/>
        <v/>
      </c>
      <c r="F808" s="228"/>
      <c r="G808" s="206"/>
      <c r="H808" s="206"/>
      <c r="I808" s="242"/>
      <c r="J808" s="273"/>
      <c r="K808" s="266"/>
      <c r="L808" s="258"/>
      <c r="M808" s="274"/>
      <c r="N808" s="251"/>
      <c r="O808" s="251"/>
      <c r="Q808" s="150"/>
      <c r="R808" s="150"/>
      <c r="S808" s="150"/>
      <c r="T808" s="150"/>
      <c r="U808" s="150"/>
      <c r="V808" s="150"/>
      <c r="W808" s="150"/>
      <c r="X808" s="150"/>
      <c r="Y808" s="150"/>
    </row>
    <row r="809" spans="2:25" ht="14.5" x14ac:dyDescent="0.35">
      <c r="B809" s="203" t="str">
        <f t="shared" si="38"/>
        <v/>
      </c>
      <c r="C809" s="204">
        <f t="shared" si="39"/>
        <v>0</v>
      </c>
      <c r="D809" s="204" t="str">
        <f t="shared" si="40"/>
        <v/>
      </c>
      <c r="E809" s="203" t="str">
        <f t="shared" si="41"/>
        <v/>
      </c>
      <c r="F809" s="228"/>
      <c r="G809" s="206"/>
      <c r="H809" s="206"/>
      <c r="I809" s="242"/>
      <c r="J809" s="273"/>
      <c r="K809" s="266"/>
      <c r="L809" s="258"/>
      <c r="M809" s="274"/>
      <c r="N809" s="251"/>
      <c r="O809" s="251"/>
      <c r="Q809" s="150"/>
      <c r="R809" s="150"/>
      <c r="S809" s="150"/>
      <c r="T809" s="150"/>
      <c r="U809" s="150"/>
      <c r="V809" s="150"/>
      <c r="W809" s="150"/>
      <c r="X809" s="150"/>
      <c r="Y809" s="150"/>
    </row>
    <row r="810" spans="2:25" ht="14.5" x14ac:dyDescent="0.35">
      <c r="B810" s="203" t="str">
        <f t="shared" si="38"/>
        <v/>
      </c>
      <c r="C810" s="204">
        <f t="shared" si="39"/>
        <v>0</v>
      </c>
      <c r="D810" s="204" t="str">
        <f t="shared" si="40"/>
        <v/>
      </c>
      <c r="E810" s="203" t="str">
        <f t="shared" si="41"/>
        <v/>
      </c>
      <c r="F810" s="228"/>
      <c r="G810" s="206"/>
      <c r="H810" s="206"/>
      <c r="I810" s="242"/>
      <c r="J810" s="273"/>
      <c r="K810" s="266"/>
      <c r="L810" s="258"/>
      <c r="M810" s="274"/>
      <c r="N810" s="251"/>
      <c r="O810" s="251"/>
      <c r="Q810" s="150"/>
      <c r="R810" s="150"/>
      <c r="S810" s="150"/>
      <c r="T810" s="150"/>
      <c r="U810" s="150"/>
      <c r="V810" s="150"/>
      <c r="W810" s="150"/>
      <c r="X810" s="150"/>
      <c r="Y810" s="150"/>
    </row>
    <row r="811" spans="2:25" ht="14.5" x14ac:dyDescent="0.35">
      <c r="B811" s="203" t="str">
        <f t="shared" si="38"/>
        <v/>
      </c>
      <c r="C811" s="204">
        <f t="shared" si="39"/>
        <v>0</v>
      </c>
      <c r="D811" s="204" t="str">
        <f t="shared" si="40"/>
        <v/>
      </c>
      <c r="E811" s="203" t="str">
        <f t="shared" si="41"/>
        <v/>
      </c>
      <c r="F811" s="228"/>
      <c r="G811" s="206"/>
      <c r="H811" s="206"/>
      <c r="I811" s="242"/>
      <c r="J811" s="273"/>
      <c r="K811" s="266"/>
      <c r="L811" s="258"/>
      <c r="M811" s="274"/>
      <c r="N811" s="251"/>
      <c r="O811" s="251"/>
      <c r="Q811" s="150"/>
      <c r="R811" s="150"/>
      <c r="S811" s="150"/>
      <c r="T811" s="150"/>
      <c r="U811" s="150"/>
      <c r="V811" s="150"/>
      <c r="W811" s="150"/>
      <c r="X811" s="150"/>
      <c r="Y811" s="150"/>
    </row>
    <row r="812" spans="2:25" ht="14.5" x14ac:dyDescent="0.35">
      <c r="B812" s="203" t="str">
        <f t="shared" si="38"/>
        <v/>
      </c>
      <c r="C812" s="204">
        <f t="shared" si="39"/>
        <v>0</v>
      </c>
      <c r="D812" s="204" t="str">
        <f t="shared" si="40"/>
        <v/>
      </c>
      <c r="E812" s="203" t="str">
        <f t="shared" si="41"/>
        <v/>
      </c>
      <c r="F812" s="228"/>
      <c r="G812" s="206"/>
      <c r="H812" s="206"/>
      <c r="I812" s="242"/>
      <c r="J812" s="273"/>
      <c r="K812" s="266"/>
      <c r="L812" s="258"/>
      <c r="M812" s="274"/>
      <c r="N812" s="251"/>
      <c r="O812" s="251"/>
      <c r="Q812" s="150"/>
      <c r="R812" s="150"/>
      <c r="S812" s="150"/>
      <c r="T812" s="150"/>
      <c r="U812" s="150"/>
      <c r="V812" s="150"/>
      <c r="W812" s="150"/>
      <c r="X812" s="150"/>
      <c r="Y812" s="150"/>
    </row>
    <row r="813" spans="2:25" ht="14.5" x14ac:dyDescent="0.35">
      <c r="B813" s="203" t="str">
        <f t="shared" si="38"/>
        <v/>
      </c>
      <c r="C813" s="204">
        <f t="shared" si="39"/>
        <v>0</v>
      </c>
      <c r="D813" s="204" t="str">
        <f t="shared" si="40"/>
        <v/>
      </c>
      <c r="E813" s="203" t="str">
        <f t="shared" si="41"/>
        <v/>
      </c>
      <c r="F813" s="228"/>
      <c r="G813" s="206"/>
      <c r="H813" s="206"/>
      <c r="I813" s="242"/>
      <c r="J813" s="273"/>
      <c r="K813" s="266"/>
      <c r="L813" s="258"/>
      <c r="M813" s="274"/>
      <c r="N813" s="251"/>
      <c r="O813" s="251"/>
      <c r="Q813" s="150"/>
      <c r="R813" s="150"/>
      <c r="S813" s="150"/>
      <c r="T813" s="150"/>
      <c r="U813" s="150"/>
      <c r="V813" s="150"/>
      <c r="W813" s="150"/>
      <c r="X813" s="150"/>
      <c r="Y813" s="150"/>
    </row>
    <row r="814" spans="2:25" ht="14.5" x14ac:dyDescent="0.35">
      <c r="B814" s="203" t="str">
        <f t="shared" si="38"/>
        <v/>
      </c>
      <c r="C814" s="204">
        <f t="shared" si="39"/>
        <v>0</v>
      </c>
      <c r="D814" s="204" t="str">
        <f t="shared" si="40"/>
        <v/>
      </c>
      <c r="E814" s="203" t="str">
        <f t="shared" si="41"/>
        <v/>
      </c>
      <c r="F814" s="228"/>
      <c r="G814" s="206"/>
      <c r="H814" s="206"/>
      <c r="I814" s="242"/>
      <c r="J814" s="273"/>
      <c r="K814" s="266"/>
      <c r="L814" s="258"/>
      <c r="M814" s="274"/>
      <c r="N814" s="251"/>
      <c r="O814" s="251"/>
      <c r="Q814" s="150"/>
      <c r="R814" s="150"/>
      <c r="S814" s="150"/>
      <c r="T814" s="150"/>
      <c r="U814" s="150"/>
      <c r="V814" s="150"/>
      <c r="W814" s="150"/>
      <c r="X814" s="150"/>
      <c r="Y814" s="150"/>
    </row>
    <row r="815" spans="2:25" ht="14.5" x14ac:dyDescent="0.35">
      <c r="B815" s="203" t="str">
        <f t="shared" si="38"/>
        <v/>
      </c>
      <c r="C815" s="204">
        <f t="shared" si="39"/>
        <v>0</v>
      </c>
      <c r="D815" s="204" t="str">
        <f t="shared" si="40"/>
        <v/>
      </c>
      <c r="E815" s="203" t="str">
        <f t="shared" si="41"/>
        <v/>
      </c>
      <c r="F815" s="228"/>
      <c r="G815" s="206"/>
      <c r="H815" s="206"/>
      <c r="I815" s="242"/>
      <c r="J815" s="273"/>
      <c r="K815" s="266"/>
      <c r="L815" s="258"/>
      <c r="M815" s="274"/>
      <c r="N815" s="251"/>
      <c r="O815" s="251"/>
      <c r="Q815" s="150"/>
      <c r="R815" s="150"/>
      <c r="S815" s="150"/>
      <c r="T815" s="150"/>
      <c r="U815" s="150"/>
      <c r="V815" s="150"/>
      <c r="W815" s="150"/>
      <c r="X815" s="150"/>
      <c r="Y815" s="150"/>
    </row>
    <row r="816" spans="2:25" ht="14.5" x14ac:dyDescent="0.35">
      <c r="B816" s="203" t="str">
        <f t="shared" si="38"/>
        <v/>
      </c>
      <c r="C816" s="204">
        <f t="shared" si="39"/>
        <v>0</v>
      </c>
      <c r="D816" s="204" t="str">
        <f t="shared" si="40"/>
        <v/>
      </c>
      <c r="E816" s="203" t="str">
        <f t="shared" si="41"/>
        <v/>
      </c>
      <c r="F816" s="228"/>
      <c r="G816" s="206"/>
      <c r="H816" s="206"/>
      <c r="I816" s="242"/>
      <c r="J816" s="273"/>
      <c r="K816" s="266"/>
      <c r="L816" s="258"/>
      <c r="M816" s="274"/>
      <c r="N816" s="251"/>
      <c r="O816" s="251"/>
      <c r="Q816" s="150"/>
      <c r="R816" s="150"/>
      <c r="S816" s="150"/>
      <c r="T816" s="150"/>
      <c r="U816" s="150"/>
      <c r="V816" s="150"/>
      <c r="W816" s="150"/>
      <c r="X816" s="150"/>
      <c r="Y816" s="150"/>
    </row>
    <row r="817" spans="2:25" ht="14.5" x14ac:dyDescent="0.35">
      <c r="B817" s="203" t="str">
        <f t="shared" si="38"/>
        <v/>
      </c>
      <c r="C817" s="204">
        <f t="shared" si="39"/>
        <v>0</v>
      </c>
      <c r="D817" s="204" t="str">
        <f t="shared" si="40"/>
        <v/>
      </c>
      <c r="E817" s="203" t="str">
        <f t="shared" si="41"/>
        <v/>
      </c>
      <c r="F817" s="228"/>
      <c r="G817" s="206"/>
      <c r="H817" s="206"/>
      <c r="I817" s="242"/>
      <c r="J817" s="273"/>
      <c r="K817" s="266"/>
      <c r="L817" s="258"/>
      <c r="M817" s="274"/>
      <c r="N817" s="251"/>
      <c r="O817" s="251"/>
      <c r="Q817" s="150"/>
      <c r="R817" s="150"/>
      <c r="S817" s="150"/>
      <c r="T817" s="150"/>
      <c r="U817" s="150"/>
      <c r="V817" s="150"/>
      <c r="W817" s="150"/>
      <c r="X817" s="150"/>
      <c r="Y817" s="150"/>
    </row>
    <row r="818" spans="2:25" ht="14.5" x14ac:dyDescent="0.35">
      <c r="B818" s="203" t="str">
        <f t="shared" si="38"/>
        <v/>
      </c>
      <c r="C818" s="204">
        <f t="shared" si="39"/>
        <v>0</v>
      </c>
      <c r="D818" s="204" t="str">
        <f t="shared" si="40"/>
        <v/>
      </c>
      <c r="E818" s="203" t="str">
        <f t="shared" si="41"/>
        <v/>
      </c>
      <c r="F818" s="228"/>
      <c r="G818" s="206"/>
      <c r="H818" s="206"/>
      <c r="I818" s="242"/>
      <c r="J818" s="273"/>
      <c r="K818" s="266"/>
      <c r="L818" s="258"/>
      <c r="M818" s="274"/>
      <c r="N818" s="251"/>
      <c r="O818" s="251"/>
      <c r="Q818" s="150"/>
      <c r="R818" s="150"/>
      <c r="S818" s="150"/>
      <c r="T818" s="150"/>
      <c r="U818" s="150"/>
      <c r="V818" s="150"/>
      <c r="W818" s="150"/>
      <c r="X818" s="150"/>
      <c r="Y818" s="150"/>
    </row>
    <row r="819" spans="2:25" ht="14.5" x14ac:dyDescent="0.35">
      <c r="B819" s="203" t="str">
        <f t="shared" ref="B819:B870" si="42">IF(J819=0,"",B818+1)</f>
        <v/>
      </c>
      <c r="C819" s="204">
        <f t="shared" si="39"/>
        <v>0</v>
      </c>
      <c r="D819" s="204" t="str">
        <f t="shared" si="40"/>
        <v/>
      </c>
      <c r="E819" s="203" t="str">
        <f t="shared" si="41"/>
        <v/>
      </c>
      <c r="F819" s="228"/>
      <c r="G819" s="206"/>
      <c r="H819" s="206"/>
      <c r="I819" s="242"/>
      <c r="J819" s="273"/>
      <c r="K819" s="266"/>
      <c r="L819" s="258"/>
      <c r="M819" s="274"/>
      <c r="N819" s="251"/>
      <c r="O819" s="251"/>
      <c r="Q819" s="150"/>
      <c r="R819" s="150"/>
      <c r="S819" s="150"/>
      <c r="T819" s="150"/>
      <c r="U819" s="150"/>
      <c r="V819" s="150"/>
      <c r="W819" s="150"/>
      <c r="X819" s="150"/>
      <c r="Y819" s="150"/>
    </row>
    <row r="820" spans="2:25" ht="14.5" x14ac:dyDescent="0.35">
      <c r="B820" s="203" t="str">
        <f t="shared" si="42"/>
        <v/>
      </c>
      <c r="C820" s="204">
        <f t="shared" si="39"/>
        <v>0</v>
      </c>
      <c r="D820" s="204" t="str">
        <f t="shared" si="40"/>
        <v/>
      </c>
      <c r="E820" s="203" t="str">
        <f t="shared" si="41"/>
        <v/>
      </c>
      <c r="F820" s="228"/>
      <c r="G820" s="206"/>
      <c r="H820" s="206"/>
      <c r="I820" s="242"/>
      <c r="J820" s="273"/>
      <c r="K820" s="266"/>
      <c r="L820" s="258"/>
      <c r="M820" s="274"/>
      <c r="N820" s="251"/>
      <c r="O820" s="251"/>
      <c r="Q820" s="150"/>
      <c r="R820" s="150"/>
      <c r="S820" s="150"/>
      <c r="T820" s="150"/>
      <c r="U820" s="150"/>
      <c r="V820" s="150"/>
      <c r="W820" s="150"/>
      <c r="X820" s="150"/>
      <c r="Y820" s="150"/>
    </row>
    <row r="821" spans="2:25" ht="14.5" x14ac:dyDescent="0.35">
      <c r="B821" s="203" t="str">
        <f t="shared" si="42"/>
        <v/>
      </c>
      <c r="C821" s="204">
        <f t="shared" si="39"/>
        <v>0</v>
      </c>
      <c r="D821" s="204" t="str">
        <f t="shared" si="40"/>
        <v/>
      </c>
      <c r="E821" s="203" t="str">
        <f t="shared" si="41"/>
        <v/>
      </c>
      <c r="F821" s="228"/>
      <c r="G821" s="206"/>
      <c r="H821" s="206"/>
      <c r="I821" s="242"/>
      <c r="J821" s="273"/>
      <c r="K821" s="266"/>
      <c r="L821" s="258"/>
      <c r="M821" s="274"/>
      <c r="N821" s="251"/>
      <c r="O821" s="251"/>
      <c r="Q821" s="150"/>
      <c r="R821" s="150"/>
      <c r="S821" s="150"/>
      <c r="T821" s="150"/>
      <c r="U821" s="150"/>
      <c r="V821" s="150"/>
      <c r="W821" s="150"/>
      <c r="X821" s="150"/>
      <c r="Y821" s="150"/>
    </row>
    <row r="822" spans="2:25" ht="14.5" x14ac:dyDescent="0.35">
      <c r="B822" s="203" t="str">
        <f t="shared" si="42"/>
        <v/>
      </c>
      <c r="C822" s="204">
        <f t="shared" si="39"/>
        <v>0</v>
      </c>
      <c r="D822" s="204" t="str">
        <f t="shared" si="40"/>
        <v/>
      </c>
      <c r="E822" s="203" t="str">
        <f t="shared" si="41"/>
        <v/>
      </c>
      <c r="F822" s="228"/>
      <c r="G822" s="206"/>
      <c r="H822" s="206"/>
      <c r="I822" s="242"/>
      <c r="J822" s="273"/>
      <c r="K822" s="266"/>
      <c r="L822" s="258"/>
      <c r="M822" s="274"/>
      <c r="N822" s="251"/>
      <c r="O822" s="251"/>
      <c r="Q822" s="150"/>
      <c r="R822" s="150"/>
      <c r="S822" s="150"/>
      <c r="T822" s="150"/>
      <c r="U822" s="150"/>
      <c r="V822" s="150"/>
      <c r="W822" s="150"/>
      <c r="X822" s="150"/>
      <c r="Y822" s="150"/>
    </row>
    <row r="823" spans="2:25" ht="14.5" x14ac:dyDescent="0.35">
      <c r="B823" s="203" t="str">
        <f t="shared" si="42"/>
        <v/>
      </c>
      <c r="C823" s="204">
        <f t="shared" si="39"/>
        <v>0</v>
      </c>
      <c r="D823" s="204" t="str">
        <f t="shared" si="40"/>
        <v/>
      </c>
      <c r="E823" s="203" t="str">
        <f t="shared" si="41"/>
        <v/>
      </c>
      <c r="F823" s="228"/>
      <c r="G823" s="206"/>
      <c r="H823" s="206"/>
      <c r="I823" s="242"/>
      <c r="J823" s="273"/>
      <c r="K823" s="266"/>
      <c r="L823" s="258"/>
      <c r="M823" s="274"/>
      <c r="N823" s="251"/>
      <c r="O823" s="251"/>
      <c r="Q823" s="150"/>
      <c r="R823" s="150"/>
      <c r="S823" s="150"/>
      <c r="T823" s="150"/>
      <c r="U823" s="150"/>
      <c r="V823" s="150"/>
      <c r="W823" s="150"/>
      <c r="X823" s="150"/>
      <c r="Y823" s="150"/>
    </row>
    <row r="824" spans="2:25" ht="14.5" x14ac:dyDescent="0.35">
      <c r="B824" s="203" t="str">
        <f t="shared" si="42"/>
        <v/>
      </c>
      <c r="C824" s="204">
        <f t="shared" si="39"/>
        <v>0</v>
      </c>
      <c r="D824" s="204" t="str">
        <f t="shared" si="40"/>
        <v/>
      </c>
      <c r="E824" s="203" t="str">
        <f t="shared" si="41"/>
        <v/>
      </c>
      <c r="F824" s="228"/>
      <c r="G824" s="206"/>
      <c r="H824" s="206"/>
      <c r="I824" s="242"/>
      <c r="J824" s="273"/>
      <c r="K824" s="266"/>
      <c r="L824" s="258"/>
      <c r="M824" s="274"/>
      <c r="N824" s="251"/>
      <c r="O824" s="251"/>
      <c r="Q824" s="150"/>
      <c r="R824" s="150"/>
      <c r="S824" s="150"/>
      <c r="T824" s="150"/>
      <c r="U824" s="150"/>
      <c r="V824" s="150"/>
      <c r="W824" s="150"/>
      <c r="X824" s="150"/>
      <c r="Y824" s="150"/>
    </row>
    <row r="825" spans="2:25" ht="14.5" x14ac:dyDescent="0.35">
      <c r="B825" s="203" t="str">
        <f t="shared" si="42"/>
        <v/>
      </c>
      <c r="C825" s="204">
        <f t="shared" si="39"/>
        <v>0</v>
      </c>
      <c r="D825" s="204" t="str">
        <f t="shared" si="40"/>
        <v/>
      </c>
      <c r="E825" s="203" t="str">
        <f t="shared" si="41"/>
        <v/>
      </c>
      <c r="F825" s="228"/>
      <c r="G825" s="206"/>
      <c r="H825" s="206"/>
      <c r="I825" s="242"/>
      <c r="J825" s="273"/>
      <c r="K825" s="266"/>
      <c r="L825" s="258"/>
      <c r="M825" s="274"/>
      <c r="N825" s="251"/>
      <c r="O825" s="251"/>
      <c r="Q825" s="150"/>
      <c r="R825" s="150"/>
      <c r="S825" s="150"/>
      <c r="T825" s="150"/>
      <c r="U825" s="150"/>
      <c r="V825" s="150"/>
      <c r="W825" s="150"/>
      <c r="X825" s="150"/>
      <c r="Y825" s="150"/>
    </row>
    <row r="826" spans="2:25" ht="14.5" x14ac:dyDescent="0.35">
      <c r="B826" s="203" t="str">
        <f t="shared" si="42"/>
        <v/>
      </c>
      <c r="C826" s="204">
        <f t="shared" si="39"/>
        <v>0</v>
      </c>
      <c r="D826" s="204" t="str">
        <f t="shared" si="40"/>
        <v/>
      </c>
      <c r="E826" s="203" t="str">
        <f t="shared" si="41"/>
        <v/>
      </c>
      <c r="F826" s="228"/>
      <c r="G826" s="206"/>
      <c r="H826" s="206"/>
      <c r="I826" s="242"/>
      <c r="J826" s="273"/>
      <c r="K826" s="266"/>
      <c r="L826" s="258"/>
      <c r="M826" s="274"/>
      <c r="N826" s="251"/>
      <c r="O826" s="251"/>
      <c r="Q826" s="150"/>
      <c r="R826" s="150"/>
      <c r="S826" s="150"/>
      <c r="T826" s="150"/>
      <c r="U826" s="150"/>
      <c r="V826" s="150"/>
      <c r="W826" s="150"/>
      <c r="X826" s="150"/>
      <c r="Y826" s="150"/>
    </row>
    <row r="827" spans="2:25" ht="14.5" x14ac:dyDescent="0.35">
      <c r="B827" s="203" t="str">
        <f t="shared" si="42"/>
        <v/>
      </c>
      <c r="C827" s="204">
        <f t="shared" si="39"/>
        <v>0</v>
      </c>
      <c r="D827" s="204" t="str">
        <f t="shared" si="40"/>
        <v/>
      </c>
      <c r="E827" s="203" t="str">
        <f t="shared" si="41"/>
        <v/>
      </c>
      <c r="F827" s="228"/>
      <c r="G827" s="206"/>
      <c r="H827" s="206"/>
      <c r="I827" s="242"/>
      <c r="J827" s="273"/>
      <c r="K827" s="266"/>
      <c r="L827" s="258"/>
      <c r="M827" s="274"/>
      <c r="N827" s="251"/>
      <c r="O827" s="251"/>
      <c r="Q827" s="150"/>
      <c r="R827" s="150"/>
      <c r="S827" s="150"/>
      <c r="T827" s="150"/>
      <c r="U827" s="150"/>
      <c r="V827" s="150"/>
      <c r="W827" s="150"/>
      <c r="X827" s="150"/>
      <c r="Y827" s="150"/>
    </row>
    <row r="828" spans="2:25" ht="14.5" x14ac:dyDescent="0.35">
      <c r="B828" s="203" t="str">
        <f t="shared" si="42"/>
        <v/>
      </c>
      <c r="C828" s="204">
        <f t="shared" si="39"/>
        <v>0</v>
      </c>
      <c r="D828" s="204" t="str">
        <f t="shared" si="40"/>
        <v/>
      </c>
      <c r="E828" s="203" t="str">
        <f t="shared" si="41"/>
        <v/>
      </c>
      <c r="F828" s="228"/>
      <c r="G828" s="206"/>
      <c r="H828" s="206"/>
      <c r="I828" s="242"/>
      <c r="J828" s="273"/>
      <c r="K828" s="266"/>
      <c r="L828" s="258"/>
      <c r="M828" s="274"/>
      <c r="N828" s="251"/>
      <c r="O828" s="251"/>
      <c r="Q828" s="150"/>
      <c r="R828" s="150"/>
      <c r="S828" s="150"/>
      <c r="T828" s="150"/>
      <c r="U828" s="150"/>
      <c r="V828" s="150"/>
      <c r="W828" s="150"/>
      <c r="X828" s="150"/>
      <c r="Y828" s="150"/>
    </row>
    <row r="829" spans="2:25" ht="14.5" x14ac:dyDescent="0.35">
      <c r="B829" s="203" t="str">
        <f t="shared" si="42"/>
        <v/>
      </c>
      <c r="C829" s="204">
        <f t="shared" si="39"/>
        <v>0</v>
      </c>
      <c r="D829" s="204" t="str">
        <f t="shared" si="40"/>
        <v/>
      </c>
      <c r="E829" s="203" t="str">
        <f t="shared" si="41"/>
        <v/>
      </c>
      <c r="F829" s="228"/>
      <c r="G829" s="206"/>
      <c r="H829" s="206"/>
      <c r="I829" s="242"/>
      <c r="J829" s="273"/>
      <c r="K829" s="266"/>
      <c r="L829" s="258"/>
      <c r="M829" s="274"/>
      <c r="N829" s="251"/>
      <c r="O829" s="251"/>
      <c r="Q829" s="150"/>
      <c r="R829" s="150"/>
      <c r="S829" s="150"/>
      <c r="T829" s="150"/>
      <c r="U829" s="150"/>
      <c r="V829" s="150"/>
      <c r="W829" s="150"/>
      <c r="X829" s="150"/>
      <c r="Y829" s="150"/>
    </row>
    <row r="830" spans="2:25" ht="14.5" x14ac:dyDescent="0.35">
      <c r="B830" s="203" t="str">
        <f t="shared" si="42"/>
        <v/>
      </c>
      <c r="C830" s="204">
        <f t="shared" si="39"/>
        <v>0</v>
      </c>
      <c r="D830" s="204" t="str">
        <f t="shared" si="40"/>
        <v/>
      </c>
      <c r="E830" s="203" t="str">
        <f t="shared" si="41"/>
        <v/>
      </c>
      <c r="F830" s="228"/>
      <c r="G830" s="206"/>
      <c r="H830" s="206"/>
      <c r="I830" s="242"/>
      <c r="J830" s="273"/>
      <c r="K830" s="266"/>
      <c r="L830" s="258"/>
      <c r="M830" s="274"/>
      <c r="N830" s="251"/>
      <c r="O830" s="251"/>
      <c r="Q830" s="150"/>
      <c r="R830" s="150"/>
      <c r="S830" s="150"/>
      <c r="T830" s="150"/>
      <c r="U830" s="150"/>
      <c r="V830" s="150"/>
      <c r="W830" s="150"/>
      <c r="X830" s="150"/>
      <c r="Y830" s="150"/>
    </row>
    <row r="831" spans="2:25" ht="14.5" x14ac:dyDescent="0.35">
      <c r="B831" s="203" t="str">
        <f t="shared" si="42"/>
        <v/>
      </c>
      <c r="C831" s="204">
        <f t="shared" si="39"/>
        <v>0</v>
      </c>
      <c r="D831" s="204" t="str">
        <f t="shared" si="40"/>
        <v/>
      </c>
      <c r="E831" s="203" t="str">
        <f t="shared" si="41"/>
        <v/>
      </c>
      <c r="F831" s="228"/>
      <c r="G831" s="206"/>
      <c r="H831" s="206"/>
      <c r="I831" s="242"/>
      <c r="J831" s="273"/>
      <c r="K831" s="266"/>
      <c r="L831" s="258"/>
      <c r="M831" s="274"/>
      <c r="N831" s="251"/>
      <c r="O831" s="251"/>
      <c r="Q831" s="150"/>
      <c r="R831" s="150"/>
      <c r="S831" s="150"/>
      <c r="T831" s="150"/>
      <c r="U831" s="150"/>
      <c r="V831" s="150"/>
      <c r="W831" s="150"/>
      <c r="X831" s="150"/>
      <c r="Y831" s="150"/>
    </row>
    <row r="832" spans="2:25" ht="14.5" x14ac:dyDescent="0.35">
      <c r="B832" s="203" t="str">
        <f t="shared" si="42"/>
        <v/>
      </c>
      <c r="C832" s="204">
        <f t="shared" si="39"/>
        <v>0</v>
      </c>
      <c r="D832" s="204" t="str">
        <f t="shared" si="40"/>
        <v/>
      </c>
      <c r="E832" s="203" t="str">
        <f t="shared" si="41"/>
        <v/>
      </c>
      <c r="F832" s="228"/>
      <c r="G832" s="206"/>
      <c r="H832" s="206"/>
      <c r="I832" s="242"/>
      <c r="J832" s="273"/>
      <c r="K832" s="266"/>
      <c r="L832" s="258"/>
      <c r="M832" s="274"/>
      <c r="N832" s="251"/>
      <c r="O832" s="251"/>
      <c r="Q832" s="150"/>
      <c r="R832" s="150"/>
      <c r="S832" s="150"/>
      <c r="T832" s="150"/>
      <c r="U832" s="150"/>
      <c r="V832" s="150"/>
      <c r="W832" s="150"/>
      <c r="X832" s="150"/>
      <c r="Y832" s="150"/>
    </row>
    <row r="833" spans="2:25" ht="14.5" x14ac:dyDescent="0.35">
      <c r="B833" s="203" t="str">
        <f t="shared" si="42"/>
        <v/>
      </c>
      <c r="C833" s="204">
        <f t="shared" si="39"/>
        <v>0</v>
      </c>
      <c r="D833" s="204" t="str">
        <f t="shared" si="40"/>
        <v/>
      </c>
      <c r="E833" s="203" t="str">
        <f t="shared" si="41"/>
        <v/>
      </c>
      <c r="F833" s="228"/>
      <c r="G833" s="206"/>
      <c r="H833" s="206"/>
      <c r="I833" s="242"/>
      <c r="J833" s="273"/>
      <c r="K833" s="266"/>
      <c r="L833" s="258"/>
      <c r="M833" s="274"/>
      <c r="N833" s="251"/>
      <c r="O833" s="251"/>
      <c r="Q833" s="150"/>
      <c r="R833" s="150"/>
      <c r="S833" s="150"/>
      <c r="T833" s="150"/>
      <c r="U833" s="150"/>
      <c r="V833" s="150"/>
      <c r="W833" s="150"/>
      <c r="X833" s="150"/>
      <c r="Y833" s="150"/>
    </row>
    <row r="834" spans="2:25" ht="14.5" x14ac:dyDescent="0.35">
      <c r="B834" s="203" t="str">
        <f t="shared" si="42"/>
        <v/>
      </c>
      <c r="C834" s="204">
        <f t="shared" si="39"/>
        <v>0</v>
      </c>
      <c r="D834" s="204" t="str">
        <f t="shared" si="40"/>
        <v/>
      </c>
      <c r="E834" s="203" t="str">
        <f t="shared" si="41"/>
        <v/>
      </c>
      <c r="F834" s="228"/>
      <c r="G834" s="206"/>
      <c r="H834" s="206"/>
      <c r="I834" s="242"/>
      <c r="J834" s="273"/>
      <c r="K834" s="266"/>
      <c r="L834" s="258"/>
      <c r="M834" s="274"/>
      <c r="N834" s="251"/>
      <c r="O834" s="251"/>
      <c r="Q834" s="150"/>
      <c r="R834" s="150"/>
      <c r="S834" s="150"/>
      <c r="T834" s="150"/>
      <c r="U834" s="150"/>
      <c r="V834" s="150"/>
      <c r="W834" s="150"/>
      <c r="X834" s="150"/>
      <c r="Y834" s="150"/>
    </row>
    <row r="835" spans="2:25" ht="14.5" x14ac:dyDescent="0.35">
      <c r="B835" s="203" t="str">
        <f t="shared" si="42"/>
        <v/>
      </c>
      <c r="C835" s="204">
        <f t="shared" si="39"/>
        <v>0</v>
      </c>
      <c r="D835" s="204" t="str">
        <f t="shared" si="40"/>
        <v/>
      </c>
      <c r="E835" s="203" t="str">
        <f t="shared" si="41"/>
        <v/>
      </c>
      <c r="F835" s="228"/>
      <c r="G835" s="206"/>
      <c r="H835" s="206"/>
      <c r="I835" s="242"/>
      <c r="J835" s="273"/>
      <c r="K835" s="266"/>
      <c r="L835" s="258"/>
      <c r="M835" s="274"/>
      <c r="N835" s="251"/>
      <c r="O835" s="251"/>
      <c r="Q835" s="150"/>
      <c r="R835" s="150"/>
      <c r="S835" s="150"/>
      <c r="T835" s="150"/>
      <c r="U835" s="150"/>
      <c r="V835" s="150"/>
      <c r="W835" s="150"/>
      <c r="X835" s="150"/>
      <c r="Y835" s="150"/>
    </row>
    <row r="836" spans="2:25" ht="14.5" x14ac:dyDescent="0.35">
      <c r="B836" s="203" t="str">
        <f t="shared" si="42"/>
        <v/>
      </c>
      <c r="C836" s="204">
        <f t="shared" si="39"/>
        <v>0</v>
      </c>
      <c r="D836" s="204" t="str">
        <f t="shared" si="40"/>
        <v/>
      </c>
      <c r="E836" s="203" t="str">
        <f t="shared" si="41"/>
        <v/>
      </c>
      <c r="F836" s="228"/>
      <c r="G836" s="206"/>
      <c r="H836" s="206"/>
      <c r="I836" s="242"/>
      <c r="J836" s="273"/>
      <c r="K836" s="266"/>
      <c r="L836" s="258"/>
      <c r="M836" s="274"/>
      <c r="N836" s="251"/>
      <c r="O836" s="251"/>
      <c r="Q836" s="150"/>
      <c r="R836" s="150"/>
      <c r="S836" s="150"/>
      <c r="T836" s="150"/>
      <c r="U836" s="150"/>
      <c r="V836" s="150"/>
      <c r="W836" s="150"/>
      <c r="X836" s="150"/>
      <c r="Y836" s="150"/>
    </row>
    <row r="837" spans="2:25" ht="14.5" x14ac:dyDescent="0.35">
      <c r="B837" s="203" t="str">
        <f t="shared" si="42"/>
        <v/>
      </c>
      <c r="C837" s="204">
        <f t="shared" si="39"/>
        <v>0</v>
      </c>
      <c r="D837" s="204" t="str">
        <f t="shared" si="40"/>
        <v/>
      </c>
      <c r="E837" s="203" t="str">
        <f t="shared" si="41"/>
        <v/>
      </c>
      <c r="F837" s="228"/>
      <c r="G837" s="206"/>
      <c r="H837" s="206"/>
      <c r="I837" s="242"/>
      <c r="J837" s="273"/>
      <c r="K837" s="266"/>
      <c r="L837" s="258"/>
      <c r="M837" s="274"/>
      <c r="N837" s="251"/>
      <c r="O837" s="251"/>
      <c r="Q837" s="150"/>
      <c r="R837" s="150"/>
      <c r="S837" s="150"/>
      <c r="T837" s="150"/>
      <c r="U837" s="150"/>
      <c r="V837" s="150"/>
      <c r="W837" s="150"/>
      <c r="X837" s="150"/>
      <c r="Y837" s="150"/>
    </row>
    <row r="838" spans="2:25" ht="14.5" x14ac:dyDescent="0.35">
      <c r="B838" s="203" t="str">
        <f t="shared" si="42"/>
        <v/>
      </c>
      <c r="C838" s="204">
        <f t="shared" si="39"/>
        <v>0</v>
      </c>
      <c r="D838" s="204" t="str">
        <f t="shared" si="40"/>
        <v/>
      </c>
      <c r="E838" s="203" t="str">
        <f t="shared" si="41"/>
        <v/>
      </c>
      <c r="F838" s="228"/>
      <c r="G838" s="206"/>
      <c r="H838" s="206"/>
      <c r="I838" s="242"/>
      <c r="J838" s="273"/>
      <c r="K838" s="266"/>
      <c r="L838" s="258"/>
      <c r="M838" s="274"/>
      <c r="N838" s="251"/>
      <c r="O838" s="251"/>
      <c r="Q838" s="150"/>
      <c r="R838" s="150"/>
      <c r="S838" s="150"/>
      <c r="T838" s="150"/>
      <c r="U838" s="150"/>
      <c r="V838" s="150"/>
      <c r="W838" s="150"/>
      <c r="X838" s="150"/>
      <c r="Y838" s="150"/>
    </row>
    <row r="839" spans="2:25" ht="14.5" x14ac:dyDescent="0.35">
      <c r="B839" s="203" t="str">
        <f t="shared" si="42"/>
        <v/>
      </c>
      <c r="C839" s="204">
        <f t="shared" si="39"/>
        <v>0</v>
      </c>
      <c r="D839" s="204" t="str">
        <f t="shared" si="40"/>
        <v/>
      </c>
      <c r="E839" s="203" t="str">
        <f t="shared" si="41"/>
        <v/>
      </c>
      <c r="F839" s="228"/>
      <c r="G839" s="206"/>
      <c r="H839" s="206"/>
      <c r="I839" s="242"/>
      <c r="J839" s="273"/>
      <c r="K839" s="266"/>
      <c r="L839" s="258"/>
      <c r="M839" s="274"/>
      <c r="N839" s="251"/>
      <c r="O839" s="251"/>
      <c r="Q839" s="150"/>
      <c r="R839" s="150"/>
      <c r="S839" s="150"/>
      <c r="T839" s="150"/>
      <c r="U839" s="150"/>
      <c r="V839" s="150"/>
      <c r="W839" s="150"/>
      <c r="X839" s="150"/>
      <c r="Y839" s="150"/>
    </row>
    <row r="840" spans="2:25" ht="14.5" x14ac:dyDescent="0.35">
      <c r="B840" s="203" t="str">
        <f t="shared" si="42"/>
        <v/>
      </c>
      <c r="C840" s="204">
        <f t="shared" si="39"/>
        <v>0</v>
      </c>
      <c r="D840" s="204" t="str">
        <f t="shared" si="40"/>
        <v/>
      </c>
      <c r="E840" s="203" t="str">
        <f t="shared" si="41"/>
        <v/>
      </c>
      <c r="F840" s="228"/>
      <c r="G840" s="206"/>
      <c r="H840" s="206"/>
      <c r="I840" s="242"/>
      <c r="J840" s="273"/>
      <c r="K840" s="266"/>
      <c r="L840" s="258"/>
      <c r="M840" s="274"/>
      <c r="N840" s="251"/>
      <c r="O840" s="251"/>
      <c r="Q840" s="150"/>
      <c r="R840" s="150"/>
      <c r="S840" s="150"/>
      <c r="T840" s="150"/>
      <c r="U840" s="150"/>
      <c r="V840" s="150"/>
      <c r="W840" s="150"/>
      <c r="X840" s="150"/>
      <c r="Y840" s="150"/>
    </row>
    <row r="841" spans="2:25" ht="14.5" x14ac:dyDescent="0.35">
      <c r="B841" s="203" t="str">
        <f t="shared" si="42"/>
        <v/>
      </c>
      <c r="C841" s="204">
        <f t="shared" si="39"/>
        <v>0</v>
      </c>
      <c r="D841" s="204" t="str">
        <f t="shared" si="40"/>
        <v/>
      </c>
      <c r="E841" s="203" t="str">
        <f t="shared" si="41"/>
        <v/>
      </c>
      <c r="F841" s="228"/>
      <c r="G841" s="206"/>
      <c r="H841" s="206"/>
      <c r="I841" s="242"/>
      <c r="J841" s="273"/>
      <c r="K841" s="266"/>
      <c r="L841" s="258"/>
      <c r="M841" s="274"/>
      <c r="N841" s="251"/>
      <c r="O841" s="251"/>
      <c r="Q841" s="150"/>
      <c r="R841" s="150"/>
      <c r="S841" s="150"/>
      <c r="T841" s="150"/>
      <c r="U841" s="150"/>
      <c r="V841" s="150"/>
      <c r="W841" s="150"/>
      <c r="X841" s="150"/>
      <c r="Y841" s="150"/>
    </row>
    <row r="842" spans="2:25" ht="14.5" x14ac:dyDescent="0.35">
      <c r="B842" s="203" t="str">
        <f t="shared" si="42"/>
        <v/>
      </c>
      <c r="C842" s="204">
        <f t="shared" si="39"/>
        <v>0</v>
      </c>
      <c r="D842" s="204" t="str">
        <f t="shared" si="40"/>
        <v/>
      </c>
      <c r="E842" s="203" t="str">
        <f t="shared" si="41"/>
        <v/>
      </c>
      <c r="F842" s="228"/>
      <c r="G842" s="206"/>
      <c r="H842" s="206"/>
      <c r="I842" s="242"/>
      <c r="J842" s="273"/>
      <c r="K842" s="266"/>
      <c r="L842" s="258"/>
      <c r="M842" s="274"/>
      <c r="Q842" s="150"/>
      <c r="R842" s="150"/>
      <c r="S842" s="150"/>
      <c r="T842" s="150"/>
      <c r="U842" s="150"/>
      <c r="V842" s="150"/>
      <c r="W842" s="150"/>
      <c r="X842" s="150"/>
      <c r="Y842" s="150"/>
    </row>
    <row r="843" spans="2:25" ht="14.5" x14ac:dyDescent="0.35">
      <c r="B843" s="203" t="str">
        <f t="shared" si="42"/>
        <v/>
      </c>
      <c r="C843" s="204">
        <f t="shared" si="39"/>
        <v>0</v>
      </c>
      <c r="D843" s="204" t="str">
        <f t="shared" si="40"/>
        <v/>
      </c>
      <c r="E843" s="203" t="str">
        <f t="shared" si="41"/>
        <v/>
      </c>
      <c r="F843" s="228"/>
      <c r="G843" s="206"/>
      <c r="H843" s="206"/>
      <c r="I843" s="242"/>
      <c r="J843" s="273"/>
      <c r="K843" s="266"/>
      <c r="L843" s="258"/>
      <c r="M843" s="274"/>
      <c r="Q843" s="150"/>
      <c r="R843" s="150"/>
      <c r="S843" s="150"/>
      <c r="T843" s="150"/>
      <c r="U843" s="150"/>
      <c r="V843" s="150"/>
      <c r="W843" s="150"/>
      <c r="X843" s="150"/>
      <c r="Y843" s="150"/>
    </row>
    <row r="844" spans="2:25" ht="14.5" x14ac:dyDescent="0.35">
      <c r="B844" s="203" t="str">
        <f t="shared" si="42"/>
        <v/>
      </c>
      <c r="C844" s="204">
        <f t="shared" si="39"/>
        <v>0</v>
      </c>
      <c r="D844" s="204" t="str">
        <f t="shared" si="40"/>
        <v/>
      </c>
      <c r="E844" s="203" t="str">
        <f t="shared" si="41"/>
        <v/>
      </c>
      <c r="F844" s="228"/>
      <c r="G844" s="206"/>
      <c r="H844" s="206"/>
      <c r="I844" s="242"/>
      <c r="J844" s="273"/>
      <c r="K844" s="266"/>
      <c r="L844" s="258"/>
      <c r="M844" s="274"/>
      <c r="Q844" s="150"/>
      <c r="R844" s="150"/>
      <c r="S844" s="150"/>
      <c r="T844" s="150"/>
      <c r="U844" s="150"/>
      <c r="V844" s="150"/>
      <c r="W844" s="150"/>
      <c r="X844" s="150"/>
      <c r="Y844" s="150"/>
    </row>
    <row r="845" spans="2:25" ht="14.5" x14ac:dyDescent="0.35">
      <c r="B845" s="203" t="str">
        <f t="shared" si="42"/>
        <v/>
      </c>
      <c r="C845" s="204">
        <f t="shared" ref="C845:C877" si="43">IFERROR(DAY(F845),0)</f>
        <v>0</v>
      </c>
      <c r="D845" s="204" t="str">
        <f t="shared" ref="D845:D877" si="44">IFERROR(IF(F845="","",TEXT(DATE(0,MONTH(F845),1),"MMM")),"date issue")</f>
        <v/>
      </c>
      <c r="E845" s="203" t="str">
        <f t="shared" ref="E845:E877" si="45">IFERROR(IF(OR(C845=1,C845=2,C845=3,C845=4,C845=5,C845=6,C845=7),1,IF(OR(C845=8,C845=9,C845=10,C845=11,C845=12,C845=13,C845=14),2,IF(OR(C845=15,C845=16,C845=17,C845=18,C845=19,C845=20,C845=21),3,IF(OR(C845=22,C845=23,C845=24,C845=25,C845=26,C845=27,C845=28),4,IF(OR(C845=29,C845=30,C845=31),5,""))))),0)</f>
        <v/>
      </c>
      <c r="F845" s="228"/>
      <c r="G845" s="206"/>
      <c r="H845" s="206"/>
      <c r="I845" s="242"/>
      <c r="J845" s="273"/>
      <c r="K845" s="266"/>
      <c r="L845" s="258"/>
      <c r="M845" s="274"/>
      <c r="Q845" s="150"/>
      <c r="R845" s="150"/>
      <c r="S845" s="150"/>
      <c r="T845" s="150"/>
      <c r="U845" s="150"/>
      <c r="V845" s="150"/>
      <c r="W845" s="150"/>
      <c r="X845" s="150"/>
      <c r="Y845" s="150"/>
    </row>
    <row r="846" spans="2:25" ht="14.5" x14ac:dyDescent="0.35">
      <c r="B846" s="203" t="str">
        <f t="shared" si="42"/>
        <v/>
      </c>
      <c r="C846" s="204">
        <f t="shared" si="43"/>
        <v>0</v>
      </c>
      <c r="D846" s="204" t="str">
        <f t="shared" si="44"/>
        <v/>
      </c>
      <c r="E846" s="203" t="str">
        <f t="shared" si="45"/>
        <v/>
      </c>
      <c r="F846" s="228"/>
      <c r="G846" s="206"/>
      <c r="H846" s="206"/>
      <c r="I846" s="242"/>
      <c r="J846" s="273"/>
      <c r="K846" s="266"/>
      <c r="L846" s="258"/>
      <c r="M846" s="274"/>
      <c r="Q846" s="150"/>
      <c r="R846" s="150"/>
      <c r="S846" s="150"/>
      <c r="T846" s="150"/>
      <c r="U846" s="150"/>
      <c r="V846" s="150"/>
      <c r="W846" s="150"/>
      <c r="X846" s="150"/>
      <c r="Y846" s="150"/>
    </row>
    <row r="847" spans="2:25" ht="14.5" x14ac:dyDescent="0.35">
      <c r="B847" s="203" t="str">
        <f t="shared" si="42"/>
        <v/>
      </c>
      <c r="C847" s="204">
        <f t="shared" si="43"/>
        <v>0</v>
      </c>
      <c r="D847" s="204" t="str">
        <f t="shared" si="44"/>
        <v/>
      </c>
      <c r="E847" s="203" t="str">
        <f t="shared" si="45"/>
        <v/>
      </c>
      <c r="F847" s="228"/>
      <c r="G847" s="206"/>
      <c r="H847" s="206"/>
      <c r="I847" s="242"/>
      <c r="J847" s="273"/>
      <c r="K847" s="266"/>
      <c r="L847" s="258"/>
      <c r="M847" s="274"/>
      <c r="Q847" s="150"/>
      <c r="R847" s="150"/>
      <c r="S847" s="150"/>
      <c r="T847" s="150"/>
      <c r="U847" s="150"/>
      <c r="V847" s="150"/>
      <c r="W847" s="150"/>
      <c r="X847" s="150"/>
      <c r="Y847" s="150"/>
    </row>
    <row r="848" spans="2:25" ht="14.5" x14ac:dyDescent="0.35">
      <c r="B848" s="203" t="str">
        <f t="shared" si="42"/>
        <v/>
      </c>
      <c r="C848" s="204">
        <f t="shared" si="43"/>
        <v>0</v>
      </c>
      <c r="D848" s="204" t="str">
        <f t="shared" si="44"/>
        <v/>
      </c>
      <c r="E848" s="203" t="str">
        <f t="shared" si="45"/>
        <v/>
      </c>
      <c r="F848" s="228"/>
      <c r="G848" s="206"/>
      <c r="H848" s="206"/>
      <c r="I848" s="242"/>
      <c r="J848" s="273"/>
      <c r="K848" s="266"/>
      <c r="L848" s="258"/>
      <c r="M848" s="274"/>
      <c r="Q848" s="150"/>
      <c r="R848" s="150"/>
      <c r="S848" s="150"/>
      <c r="T848" s="150"/>
      <c r="U848" s="150"/>
      <c r="V848" s="150"/>
      <c r="W848" s="150"/>
      <c r="X848" s="150"/>
      <c r="Y848" s="150"/>
    </row>
    <row r="849" spans="2:25" ht="14.5" x14ac:dyDescent="0.35">
      <c r="B849" s="203" t="str">
        <f t="shared" si="42"/>
        <v/>
      </c>
      <c r="C849" s="204">
        <f t="shared" si="43"/>
        <v>0</v>
      </c>
      <c r="D849" s="204" t="str">
        <f t="shared" si="44"/>
        <v/>
      </c>
      <c r="E849" s="203" t="str">
        <f t="shared" si="45"/>
        <v/>
      </c>
      <c r="F849" s="228"/>
      <c r="G849" s="206"/>
      <c r="H849" s="206"/>
      <c r="I849" s="242"/>
      <c r="J849" s="273"/>
      <c r="K849" s="266"/>
      <c r="L849" s="258"/>
      <c r="M849" s="274"/>
      <c r="Q849" s="150"/>
      <c r="R849" s="150"/>
      <c r="S849" s="150"/>
      <c r="T849" s="150"/>
      <c r="U849" s="150"/>
      <c r="V849" s="150"/>
      <c r="W849" s="150"/>
      <c r="X849" s="150"/>
      <c r="Y849" s="150"/>
    </row>
    <row r="850" spans="2:25" ht="14.5" x14ac:dyDescent="0.35">
      <c r="B850" s="203" t="str">
        <f t="shared" si="42"/>
        <v/>
      </c>
      <c r="C850" s="204">
        <f t="shared" si="43"/>
        <v>0</v>
      </c>
      <c r="D850" s="204" t="str">
        <f t="shared" si="44"/>
        <v/>
      </c>
      <c r="E850" s="203" t="str">
        <f t="shared" si="45"/>
        <v/>
      </c>
      <c r="F850" s="228"/>
      <c r="G850" s="206"/>
      <c r="H850" s="206"/>
      <c r="I850" s="242"/>
      <c r="J850" s="273"/>
      <c r="K850" s="266"/>
      <c r="L850" s="258"/>
      <c r="M850" s="274"/>
      <c r="Q850" s="150"/>
      <c r="R850" s="150"/>
      <c r="S850" s="150"/>
      <c r="T850" s="150"/>
      <c r="U850" s="150"/>
      <c r="V850" s="150"/>
      <c r="W850" s="150"/>
      <c r="X850" s="150"/>
      <c r="Y850" s="150"/>
    </row>
    <row r="851" spans="2:25" ht="14.5" x14ac:dyDescent="0.35">
      <c r="B851" s="203" t="str">
        <f t="shared" si="42"/>
        <v/>
      </c>
      <c r="C851" s="204">
        <f t="shared" si="43"/>
        <v>0</v>
      </c>
      <c r="D851" s="204" t="str">
        <f t="shared" si="44"/>
        <v/>
      </c>
      <c r="E851" s="203" t="str">
        <f t="shared" si="45"/>
        <v/>
      </c>
      <c r="F851" s="228"/>
      <c r="G851" s="206"/>
      <c r="H851" s="206"/>
      <c r="I851" s="242"/>
      <c r="J851" s="273"/>
      <c r="K851" s="266"/>
      <c r="L851" s="258"/>
      <c r="M851" s="274"/>
      <c r="Q851" s="150"/>
      <c r="R851" s="150"/>
      <c r="S851" s="150"/>
      <c r="T851" s="150"/>
      <c r="U851" s="150"/>
      <c r="V851" s="150"/>
      <c r="W851" s="150"/>
      <c r="X851" s="150"/>
      <c r="Y851" s="150"/>
    </row>
    <row r="852" spans="2:25" ht="14.5" x14ac:dyDescent="0.35">
      <c r="B852" s="203" t="str">
        <f t="shared" si="42"/>
        <v/>
      </c>
      <c r="C852" s="204">
        <f t="shared" si="43"/>
        <v>0</v>
      </c>
      <c r="D852" s="204" t="str">
        <f t="shared" si="44"/>
        <v/>
      </c>
      <c r="E852" s="203" t="str">
        <f t="shared" si="45"/>
        <v/>
      </c>
      <c r="F852" s="228"/>
      <c r="G852" s="206"/>
      <c r="H852" s="206"/>
      <c r="I852" s="242"/>
      <c r="J852" s="273"/>
      <c r="K852" s="266"/>
      <c r="L852" s="258"/>
      <c r="M852" s="274"/>
      <c r="Q852" s="150"/>
      <c r="R852" s="150"/>
      <c r="S852" s="150"/>
      <c r="T852" s="150"/>
      <c r="U852" s="150"/>
      <c r="V852" s="150"/>
      <c r="W852" s="150"/>
      <c r="X852" s="150"/>
      <c r="Y852" s="150"/>
    </row>
    <row r="853" spans="2:25" ht="14.5" x14ac:dyDescent="0.35">
      <c r="B853" s="203" t="str">
        <f t="shared" si="42"/>
        <v/>
      </c>
      <c r="C853" s="204">
        <f t="shared" si="43"/>
        <v>0</v>
      </c>
      <c r="D853" s="204" t="str">
        <f t="shared" si="44"/>
        <v/>
      </c>
      <c r="E853" s="203" t="str">
        <f t="shared" si="45"/>
        <v/>
      </c>
      <c r="F853" s="228"/>
      <c r="G853" s="206"/>
      <c r="H853" s="206"/>
      <c r="I853" s="242"/>
      <c r="J853" s="273"/>
      <c r="K853" s="266"/>
      <c r="L853" s="258"/>
      <c r="M853" s="274"/>
      <c r="Q853" s="150"/>
      <c r="R853" s="150"/>
      <c r="S853" s="150"/>
      <c r="T853" s="150"/>
      <c r="U853" s="150"/>
      <c r="V853" s="150"/>
      <c r="W853" s="150"/>
      <c r="X853" s="150"/>
      <c r="Y853" s="150"/>
    </row>
    <row r="854" spans="2:25" ht="14.5" x14ac:dyDescent="0.35">
      <c r="B854" s="203" t="str">
        <f t="shared" si="42"/>
        <v/>
      </c>
      <c r="C854" s="204">
        <f t="shared" si="43"/>
        <v>0</v>
      </c>
      <c r="D854" s="204" t="str">
        <f t="shared" si="44"/>
        <v/>
      </c>
      <c r="E854" s="203" t="str">
        <f t="shared" si="45"/>
        <v/>
      </c>
      <c r="F854" s="228"/>
      <c r="G854" s="206"/>
      <c r="H854" s="206"/>
      <c r="I854" s="242"/>
      <c r="J854" s="273"/>
      <c r="K854" s="266"/>
      <c r="L854" s="258"/>
      <c r="M854" s="274"/>
      <c r="Q854" s="150"/>
      <c r="R854" s="150"/>
      <c r="S854" s="150"/>
      <c r="T854" s="150"/>
      <c r="U854" s="150"/>
      <c r="V854" s="150"/>
      <c r="W854" s="150"/>
      <c r="X854" s="150"/>
      <c r="Y854" s="150"/>
    </row>
    <row r="855" spans="2:25" ht="14.5" x14ac:dyDescent="0.35">
      <c r="B855" s="203" t="str">
        <f t="shared" si="42"/>
        <v/>
      </c>
      <c r="C855" s="204">
        <f t="shared" si="43"/>
        <v>0</v>
      </c>
      <c r="D855" s="204" t="str">
        <f t="shared" si="44"/>
        <v/>
      </c>
      <c r="E855" s="203" t="str">
        <f t="shared" si="45"/>
        <v/>
      </c>
      <c r="F855" s="228"/>
      <c r="G855" s="206"/>
      <c r="H855" s="206"/>
      <c r="I855" s="242"/>
      <c r="J855" s="273"/>
      <c r="K855" s="266"/>
      <c r="L855" s="258"/>
      <c r="M855" s="274"/>
      <c r="Q855" s="150"/>
      <c r="R855" s="150"/>
      <c r="S855" s="150"/>
      <c r="T855" s="150"/>
      <c r="U855" s="150"/>
      <c r="V855" s="150"/>
      <c r="W855" s="150"/>
      <c r="X855" s="150"/>
      <c r="Y855" s="150"/>
    </row>
    <row r="856" spans="2:25" ht="14.5" x14ac:dyDescent="0.35">
      <c r="B856" s="203" t="str">
        <f t="shared" si="42"/>
        <v/>
      </c>
      <c r="C856" s="204">
        <f t="shared" si="43"/>
        <v>0</v>
      </c>
      <c r="D856" s="204" t="str">
        <f t="shared" si="44"/>
        <v/>
      </c>
      <c r="E856" s="203" t="str">
        <f t="shared" si="45"/>
        <v/>
      </c>
      <c r="F856" s="228"/>
      <c r="G856" s="206"/>
      <c r="H856" s="206"/>
      <c r="I856" s="242"/>
      <c r="J856" s="273"/>
      <c r="K856" s="266"/>
      <c r="L856" s="258"/>
      <c r="M856" s="274"/>
      <c r="Q856" s="150"/>
      <c r="R856" s="150"/>
      <c r="S856" s="150"/>
      <c r="T856" s="150"/>
      <c r="U856" s="150"/>
      <c r="V856" s="150"/>
      <c r="W856" s="150"/>
      <c r="X856" s="150"/>
      <c r="Y856" s="150"/>
    </row>
    <row r="857" spans="2:25" ht="14.5" x14ac:dyDescent="0.35">
      <c r="B857" s="203" t="str">
        <f t="shared" si="42"/>
        <v/>
      </c>
      <c r="C857" s="204">
        <f t="shared" si="43"/>
        <v>0</v>
      </c>
      <c r="D857" s="204" t="str">
        <f t="shared" si="44"/>
        <v/>
      </c>
      <c r="E857" s="203" t="str">
        <f t="shared" si="45"/>
        <v/>
      </c>
      <c r="F857" s="228"/>
      <c r="G857" s="206"/>
      <c r="H857" s="206"/>
      <c r="I857" s="242"/>
      <c r="J857" s="273"/>
      <c r="K857" s="266"/>
      <c r="L857" s="258"/>
      <c r="M857" s="274"/>
      <c r="Q857" s="150"/>
      <c r="R857" s="150"/>
      <c r="S857" s="150"/>
      <c r="T857" s="150"/>
      <c r="U857" s="150"/>
      <c r="V857" s="150"/>
      <c r="W857" s="150"/>
      <c r="X857" s="150"/>
      <c r="Y857" s="150"/>
    </row>
    <row r="858" spans="2:25" ht="14.5" x14ac:dyDescent="0.35">
      <c r="B858" s="203" t="str">
        <f t="shared" si="42"/>
        <v/>
      </c>
      <c r="C858" s="204">
        <f t="shared" si="43"/>
        <v>0</v>
      </c>
      <c r="D858" s="204" t="str">
        <f t="shared" si="44"/>
        <v/>
      </c>
      <c r="E858" s="203" t="str">
        <f t="shared" si="45"/>
        <v/>
      </c>
      <c r="F858" s="228"/>
      <c r="G858" s="206"/>
      <c r="H858" s="206"/>
      <c r="I858" s="242"/>
      <c r="J858" s="273"/>
      <c r="K858" s="266"/>
      <c r="L858" s="258"/>
      <c r="M858" s="274"/>
      <c r="Q858" s="150"/>
      <c r="R858" s="150"/>
      <c r="S858" s="150"/>
      <c r="T858" s="150"/>
      <c r="U858" s="150"/>
      <c r="V858" s="150"/>
      <c r="W858" s="150"/>
      <c r="X858" s="150"/>
      <c r="Y858" s="150"/>
    </row>
    <row r="859" spans="2:25" ht="14.5" x14ac:dyDescent="0.35">
      <c r="B859" s="203" t="str">
        <f t="shared" si="42"/>
        <v/>
      </c>
      <c r="C859" s="204">
        <f t="shared" si="43"/>
        <v>0</v>
      </c>
      <c r="D859" s="204" t="str">
        <f t="shared" si="44"/>
        <v/>
      </c>
      <c r="E859" s="203" t="str">
        <f t="shared" si="45"/>
        <v/>
      </c>
      <c r="F859" s="228"/>
      <c r="G859" s="206"/>
      <c r="H859" s="206"/>
      <c r="I859" s="242"/>
      <c r="J859" s="273"/>
      <c r="K859" s="266"/>
      <c r="L859" s="258"/>
      <c r="M859" s="274"/>
      <c r="Q859" s="150"/>
      <c r="R859" s="150"/>
      <c r="S859" s="150"/>
      <c r="T859" s="150"/>
      <c r="U859" s="150"/>
      <c r="V859" s="150"/>
      <c r="W859" s="150"/>
      <c r="X859" s="150"/>
      <c r="Y859" s="150"/>
    </row>
    <row r="860" spans="2:25" ht="14.5" x14ac:dyDescent="0.35">
      <c r="B860" s="203" t="str">
        <f t="shared" si="42"/>
        <v/>
      </c>
      <c r="C860" s="204">
        <f t="shared" si="43"/>
        <v>0</v>
      </c>
      <c r="D860" s="204" t="str">
        <f t="shared" si="44"/>
        <v/>
      </c>
      <c r="E860" s="203" t="str">
        <f t="shared" si="45"/>
        <v/>
      </c>
      <c r="F860" s="228"/>
      <c r="G860" s="206"/>
      <c r="H860" s="206"/>
      <c r="I860" s="242"/>
      <c r="J860" s="273"/>
      <c r="K860" s="266"/>
      <c r="L860" s="258"/>
      <c r="M860" s="274"/>
      <c r="Q860" s="150"/>
      <c r="R860" s="150"/>
      <c r="S860" s="150"/>
      <c r="T860" s="150"/>
      <c r="U860" s="150"/>
      <c r="V860" s="150"/>
      <c r="W860" s="150"/>
      <c r="X860" s="150"/>
      <c r="Y860" s="150"/>
    </row>
    <row r="861" spans="2:25" ht="14.5" x14ac:dyDescent="0.35">
      <c r="B861" s="203" t="str">
        <f t="shared" si="42"/>
        <v/>
      </c>
      <c r="C861" s="204">
        <f t="shared" si="43"/>
        <v>0</v>
      </c>
      <c r="D861" s="204" t="str">
        <f t="shared" si="44"/>
        <v/>
      </c>
      <c r="E861" s="203" t="str">
        <f t="shared" si="45"/>
        <v/>
      </c>
      <c r="F861" s="228"/>
      <c r="G861" s="206"/>
      <c r="H861" s="206"/>
      <c r="I861" s="242"/>
      <c r="J861" s="273"/>
      <c r="K861" s="266"/>
      <c r="L861" s="258"/>
      <c r="M861" s="274"/>
      <c r="Q861" s="150"/>
      <c r="R861" s="150"/>
      <c r="S861" s="150"/>
      <c r="T861" s="150"/>
      <c r="U861" s="150"/>
      <c r="V861" s="150"/>
      <c r="W861" s="150"/>
      <c r="X861" s="150"/>
      <c r="Y861" s="150"/>
    </row>
    <row r="862" spans="2:25" ht="14.5" x14ac:dyDescent="0.35">
      <c r="B862" s="203" t="str">
        <f t="shared" si="42"/>
        <v/>
      </c>
      <c r="C862" s="204">
        <f t="shared" si="43"/>
        <v>0</v>
      </c>
      <c r="D862" s="204" t="str">
        <f t="shared" si="44"/>
        <v/>
      </c>
      <c r="E862" s="203" t="str">
        <f t="shared" si="45"/>
        <v/>
      </c>
      <c r="F862" s="228"/>
      <c r="G862" s="206"/>
      <c r="H862" s="206"/>
      <c r="I862" s="242"/>
      <c r="J862" s="273"/>
      <c r="K862" s="266"/>
      <c r="L862" s="258"/>
      <c r="M862" s="274"/>
      <c r="Q862" s="150"/>
      <c r="R862" s="150"/>
      <c r="S862" s="150"/>
      <c r="T862" s="150"/>
      <c r="U862" s="150"/>
      <c r="V862" s="150"/>
      <c r="W862" s="150"/>
      <c r="X862" s="150"/>
      <c r="Y862" s="150"/>
    </row>
    <row r="863" spans="2:25" ht="14.5" x14ac:dyDescent="0.35">
      <c r="B863" s="203" t="str">
        <f t="shared" si="42"/>
        <v/>
      </c>
      <c r="C863" s="204">
        <f t="shared" si="43"/>
        <v>0</v>
      </c>
      <c r="D863" s="204" t="str">
        <f t="shared" si="44"/>
        <v/>
      </c>
      <c r="E863" s="203" t="str">
        <f t="shared" si="45"/>
        <v/>
      </c>
      <c r="F863" s="228"/>
      <c r="G863" s="206">
        <f t="shared" ref="G863:G870" si="46">G862+1</f>
        <v>1</v>
      </c>
      <c r="H863" s="206"/>
      <c r="I863" s="242"/>
      <c r="J863" s="273"/>
      <c r="K863" s="266">
        <f t="shared" ref="K863:K870" si="47">K862+J863-I863</f>
        <v>0</v>
      </c>
      <c r="L863" s="258"/>
      <c r="M863" s="274"/>
      <c r="Q863" s="150"/>
      <c r="R863" s="150"/>
      <c r="S863" s="150"/>
      <c r="T863" s="150"/>
      <c r="U863" s="150"/>
      <c r="V863" s="150"/>
      <c r="W863" s="150"/>
      <c r="X863" s="150"/>
      <c r="Y863" s="150"/>
    </row>
    <row r="864" spans="2:25" ht="14.5" x14ac:dyDescent="0.35">
      <c r="B864" s="203" t="str">
        <f t="shared" si="42"/>
        <v/>
      </c>
      <c r="C864" s="204">
        <f t="shared" si="43"/>
        <v>0</v>
      </c>
      <c r="D864" s="204" t="str">
        <f t="shared" si="44"/>
        <v/>
      </c>
      <c r="E864" s="203" t="str">
        <f t="shared" si="45"/>
        <v/>
      </c>
      <c r="F864" s="228"/>
      <c r="G864" s="206">
        <f t="shared" si="46"/>
        <v>2</v>
      </c>
      <c r="H864" s="206"/>
      <c r="I864" s="242"/>
      <c r="J864" s="273"/>
      <c r="K864" s="266">
        <f t="shared" si="47"/>
        <v>0</v>
      </c>
      <c r="L864" s="258"/>
      <c r="M864" s="274"/>
      <c r="Q864" s="150"/>
      <c r="R864" s="150"/>
      <c r="S864" s="150"/>
      <c r="T864" s="150"/>
      <c r="U864" s="150"/>
      <c r="V864" s="150"/>
      <c r="W864" s="150"/>
      <c r="X864" s="150"/>
      <c r="Y864" s="150"/>
    </row>
    <row r="865" spans="2:25" ht="14.5" x14ac:dyDescent="0.35">
      <c r="B865" s="203" t="str">
        <f t="shared" si="42"/>
        <v/>
      </c>
      <c r="C865" s="204">
        <f t="shared" si="43"/>
        <v>0</v>
      </c>
      <c r="D865" s="204" t="str">
        <f t="shared" si="44"/>
        <v/>
      </c>
      <c r="E865" s="203" t="str">
        <f t="shared" si="45"/>
        <v/>
      </c>
      <c r="F865" s="228"/>
      <c r="G865" s="206">
        <f t="shared" si="46"/>
        <v>3</v>
      </c>
      <c r="H865" s="206"/>
      <c r="I865" s="242"/>
      <c r="J865" s="273"/>
      <c r="K865" s="266">
        <f t="shared" si="47"/>
        <v>0</v>
      </c>
      <c r="L865" s="258"/>
      <c r="M865" s="274"/>
      <c r="Q865" s="150"/>
      <c r="R865" s="150"/>
      <c r="S865" s="150"/>
      <c r="T865" s="150"/>
      <c r="U865" s="150"/>
      <c r="V865" s="150"/>
      <c r="W865" s="150"/>
      <c r="X865" s="150"/>
      <c r="Y865" s="150"/>
    </row>
    <row r="866" spans="2:25" ht="14.5" x14ac:dyDescent="0.35">
      <c r="B866" s="203" t="str">
        <f t="shared" si="42"/>
        <v/>
      </c>
      <c r="C866" s="204">
        <f t="shared" si="43"/>
        <v>0</v>
      </c>
      <c r="D866" s="204" t="str">
        <f t="shared" si="44"/>
        <v/>
      </c>
      <c r="E866" s="203" t="str">
        <f t="shared" si="45"/>
        <v/>
      </c>
      <c r="F866" s="228"/>
      <c r="G866" s="206">
        <f t="shared" si="46"/>
        <v>4</v>
      </c>
      <c r="H866" s="206"/>
      <c r="I866" s="242"/>
      <c r="J866" s="273"/>
      <c r="K866" s="266">
        <f t="shared" si="47"/>
        <v>0</v>
      </c>
      <c r="L866" s="258"/>
      <c r="M866" s="274"/>
      <c r="Q866" s="150"/>
      <c r="R866" s="150"/>
      <c r="S866" s="150"/>
      <c r="T866" s="150"/>
      <c r="U866" s="150"/>
      <c r="V866" s="150"/>
      <c r="W866" s="150"/>
      <c r="X866" s="150"/>
      <c r="Y866" s="150"/>
    </row>
    <row r="867" spans="2:25" ht="14.5" x14ac:dyDescent="0.35">
      <c r="B867" s="203" t="str">
        <f t="shared" si="42"/>
        <v/>
      </c>
      <c r="C867" s="204">
        <f t="shared" si="43"/>
        <v>0</v>
      </c>
      <c r="D867" s="204" t="str">
        <f t="shared" si="44"/>
        <v/>
      </c>
      <c r="E867" s="203" t="str">
        <f t="shared" si="45"/>
        <v/>
      </c>
      <c r="F867" s="228"/>
      <c r="G867" s="206">
        <f t="shared" si="46"/>
        <v>5</v>
      </c>
      <c r="H867" s="206"/>
      <c r="I867" s="242"/>
      <c r="J867" s="273"/>
      <c r="K867" s="266">
        <f t="shared" si="47"/>
        <v>0</v>
      </c>
      <c r="L867" s="258"/>
      <c r="M867" s="274"/>
      <c r="Q867" s="150"/>
      <c r="R867" s="150"/>
      <c r="S867" s="150"/>
      <c r="T867" s="150"/>
      <c r="U867" s="150"/>
      <c r="V867" s="150"/>
      <c r="W867" s="150"/>
      <c r="X867" s="150"/>
      <c r="Y867" s="150"/>
    </row>
    <row r="868" spans="2:25" ht="14.5" x14ac:dyDescent="0.35">
      <c r="B868" s="203" t="str">
        <f t="shared" si="42"/>
        <v/>
      </c>
      <c r="C868" s="204">
        <f t="shared" si="43"/>
        <v>0</v>
      </c>
      <c r="D868" s="204" t="str">
        <f t="shared" si="44"/>
        <v/>
      </c>
      <c r="E868" s="203" t="str">
        <f t="shared" si="45"/>
        <v/>
      </c>
      <c r="F868" s="228"/>
      <c r="G868" s="206">
        <f t="shared" si="46"/>
        <v>6</v>
      </c>
      <c r="H868" s="206"/>
      <c r="I868" s="242"/>
      <c r="J868" s="273"/>
      <c r="K868" s="266">
        <f t="shared" si="47"/>
        <v>0</v>
      </c>
      <c r="L868" s="258"/>
      <c r="M868" s="274"/>
      <c r="Q868" s="150"/>
      <c r="R868" s="150"/>
      <c r="S868" s="150"/>
      <c r="T868" s="150"/>
      <c r="U868" s="150"/>
      <c r="V868" s="150"/>
      <c r="W868" s="150"/>
      <c r="X868" s="150"/>
      <c r="Y868" s="150"/>
    </row>
    <row r="869" spans="2:25" ht="14.5" x14ac:dyDescent="0.35">
      <c r="B869" s="203" t="str">
        <f t="shared" si="42"/>
        <v/>
      </c>
      <c r="C869" s="204">
        <f t="shared" si="43"/>
        <v>0</v>
      </c>
      <c r="D869" s="204" t="str">
        <f t="shared" si="44"/>
        <v/>
      </c>
      <c r="E869" s="203" t="str">
        <f t="shared" si="45"/>
        <v/>
      </c>
      <c r="F869" s="228"/>
      <c r="G869" s="206">
        <f t="shared" si="46"/>
        <v>7</v>
      </c>
      <c r="H869" s="206"/>
      <c r="I869" s="242"/>
      <c r="J869" s="273"/>
      <c r="K869" s="266">
        <f t="shared" si="47"/>
        <v>0</v>
      </c>
      <c r="L869" s="258"/>
      <c r="M869" s="274"/>
      <c r="Q869" s="150"/>
      <c r="R869" s="150"/>
      <c r="S869" s="150"/>
      <c r="T869" s="150"/>
      <c r="U869" s="150"/>
      <c r="V869" s="150"/>
      <c r="W869" s="150"/>
      <c r="X869" s="150"/>
      <c r="Y869" s="150"/>
    </row>
    <row r="870" spans="2:25" ht="14.5" x14ac:dyDescent="0.35">
      <c r="B870" s="203" t="str">
        <f t="shared" si="42"/>
        <v/>
      </c>
      <c r="C870" s="204">
        <f t="shared" si="43"/>
        <v>0</v>
      </c>
      <c r="D870" s="204" t="str">
        <f t="shared" si="44"/>
        <v/>
      </c>
      <c r="E870" s="203" t="str">
        <f t="shared" si="45"/>
        <v/>
      </c>
      <c r="F870" s="228"/>
      <c r="G870" s="206">
        <f t="shared" si="46"/>
        <v>8</v>
      </c>
      <c r="H870" s="206"/>
      <c r="I870" s="242"/>
      <c r="J870" s="273"/>
      <c r="K870" s="266">
        <f t="shared" si="47"/>
        <v>0</v>
      </c>
      <c r="L870" s="258"/>
      <c r="M870" s="274"/>
      <c r="Q870" s="150"/>
      <c r="R870" s="150"/>
      <c r="S870" s="150"/>
      <c r="T870" s="150"/>
      <c r="U870" s="150"/>
      <c r="V870" s="150"/>
      <c r="W870" s="150"/>
      <c r="X870" s="150"/>
      <c r="Y870" s="150"/>
    </row>
    <row r="871" spans="2:25" x14ac:dyDescent="0.3">
      <c r="B871" s="277"/>
      <c r="C871" s="278"/>
      <c r="D871" s="278"/>
      <c r="E871" s="277"/>
      <c r="F871" s="279"/>
      <c r="G871" s="280"/>
      <c r="H871" s="280"/>
      <c r="I871" s="281"/>
      <c r="J871" s="282"/>
      <c r="K871" s="281"/>
      <c r="L871" s="281"/>
      <c r="M871" s="283"/>
      <c r="O871" s="145"/>
      <c r="P871" s="145"/>
      <c r="Q871" s="150"/>
      <c r="R871" s="150"/>
      <c r="S871" s="150"/>
      <c r="T871" s="150"/>
      <c r="U871" s="150"/>
      <c r="V871" s="150"/>
      <c r="W871" s="150"/>
      <c r="X871" s="150"/>
      <c r="Y871" s="150"/>
    </row>
    <row r="872" spans="2:25" x14ac:dyDescent="0.3">
      <c r="Q872" s="150"/>
      <c r="R872" s="150"/>
      <c r="S872" s="150"/>
      <c r="T872" s="150"/>
      <c r="U872" s="150"/>
      <c r="V872" s="150"/>
      <c r="W872" s="150"/>
      <c r="X872" s="150"/>
      <c r="Y872" s="150"/>
    </row>
    <row r="873" spans="2:25" x14ac:dyDescent="0.3">
      <c r="Q873" s="150"/>
      <c r="R873" s="150"/>
      <c r="S873" s="150"/>
      <c r="T873" s="150"/>
      <c r="U873" s="150"/>
      <c r="V873" s="150"/>
      <c r="W873" s="150"/>
      <c r="X873" s="150"/>
      <c r="Y873" s="150"/>
    </row>
    <row r="874" spans="2:25" x14ac:dyDescent="0.3">
      <c r="Q874" s="150"/>
      <c r="R874" s="150"/>
      <c r="S874" s="150"/>
      <c r="T874" s="150"/>
      <c r="U874" s="150"/>
      <c r="V874" s="150"/>
      <c r="W874" s="150"/>
      <c r="X874" s="150"/>
      <c r="Y874" s="150"/>
    </row>
    <row r="875" spans="2:25" x14ac:dyDescent="0.3">
      <c r="Q875" s="150"/>
      <c r="R875" s="150"/>
      <c r="S875" s="150"/>
      <c r="T875" s="150"/>
      <c r="U875" s="150"/>
      <c r="V875" s="150"/>
      <c r="W875" s="150"/>
      <c r="X875" s="150"/>
      <c r="Y875" s="150"/>
    </row>
    <row r="876" spans="2:25" x14ac:dyDescent="0.3">
      <c r="Q876" s="150"/>
      <c r="R876" s="150"/>
      <c r="S876" s="150"/>
      <c r="T876" s="150"/>
      <c r="U876" s="150"/>
      <c r="V876" s="150"/>
      <c r="W876" s="150"/>
      <c r="X876" s="150"/>
      <c r="Y876" s="150"/>
    </row>
    <row r="877" spans="2:25" x14ac:dyDescent="0.3">
      <c r="Q877" s="150"/>
      <c r="R877" s="150"/>
      <c r="S877" s="150"/>
      <c r="T877" s="150"/>
      <c r="U877" s="150"/>
      <c r="V877" s="150"/>
      <c r="W877" s="150"/>
      <c r="X877" s="150"/>
      <c r="Y877" s="150"/>
    </row>
    <row r="878" spans="2:25" x14ac:dyDescent="0.3">
      <c r="Q878" s="150"/>
      <c r="R878" s="150"/>
      <c r="S878" s="150"/>
      <c r="T878" s="150"/>
      <c r="U878" s="150"/>
      <c r="V878" s="150"/>
      <c r="W878" s="150"/>
      <c r="X878" s="150"/>
      <c r="Y878" s="150"/>
    </row>
    <row r="879" spans="2:25" x14ac:dyDescent="0.3">
      <c r="Q879" s="150"/>
      <c r="R879" s="150"/>
      <c r="S879" s="150"/>
      <c r="T879" s="150"/>
      <c r="U879" s="150"/>
      <c r="V879" s="150"/>
      <c r="W879" s="150"/>
      <c r="X879" s="150"/>
      <c r="Y879" s="150"/>
    </row>
    <row r="880" spans="2:25" x14ac:dyDescent="0.3">
      <c r="Q880" s="150"/>
      <c r="R880" s="150"/>
      <c r="S880" s="150"/>
      <c r="T880" s="150"/>
      <c r="U880" s="150"/>
      <c r="V880" s="150"/>
      <c r="W880" s="150"/>
      <c r="X880" s="150"/>
      <c r="Y880" s="150"/>
    </row>
    <row r="881" spans="17:25" x14ac:dyDescent="0.3">
      <c r="Q881" s="150"/>
      <c r="R881" s="150"/>
      <c r="S881" s="150"/>
      <c r="T881" s="150"/>
      <c r="U881" s="150"/>
      <c r="V881" s="150"/>
      <c r="W881" s="150"/>
      <c r="X881" s="150"/>
      <c r="Y881" s="150"/>
    </row>
    <row r="882" spans="17:25" x14ac:dyDescent="0.3">
      <c r="Q882" s="150"/>
      <c r="R882" s="150"/>
      <c r="S882" s="150"/>
      <c r="T882" s="150"/>
      <c r="U882" s="150"/>
      <c r="V882" s="150"/>
      <c r="W882" s="150"/>
      <c r="X882" s="150"/>
      <c r="Y882" s="150"/>
    </row>
    <row r="883" spans="17:25" x14ac:dyDescent="0.3">
      <c r="Q883" s="150"/>
      <c r="R883" s="150"/>
      <c r="S883" s="150"/>
      <c r="T883" s="150"/>
      <c r="U883" s="150"/>
      <c r="V883" s="150"/>
      <c r="W883" s="150"/>
      <c r="X883" s="150"/>
      <c r="Y883" s="150"/>
    </row>
    <row r="884" spans="17:25" x14ac:dyDescent="0.3">
      <c r="Q884" s="150"/>
      <c r="R884" s="150"/>
      <c r="S884" s="150"/>
      <c r="T884" s="150"/>
      <c r="U884" s="150"/>
      <c r="V884" s="150"/>
      <c r="W884" s="150"/>
      <c r="X884" s="150"/>
      <c r="Y884" s="150"/>
    </row>
    <row r="885" spans="17:25" x14ac:dyDescent="0.3">
      <c r="Q885" s="150"/>
      <c r="R885" s="150"/>
      <c r="S885" s="150"/>
      <c r="T885" s="150"/>
      <c r="U885" s="150"/>
      <c r="V885" s="150"/>
      <c r="W885" s="150"/>
      <c r="X885" s="150"/>
      <c r="Y885" s="150"/>
    </row>
    <row r="886" spans="17:25" x14ac:dyDescent="0.3">
      <c r="Q886" s="150"/>
      <c r="R886" s="150"/>
      <c r="S886" s="150"/>
      <c r="T886" s="150"/>
      <c r="U886" s="150"/>
      <c r="V886" s="150"/>
      <c r="W886" s="150"/>
      <c r="X886" s="150"/>
      <c r="Y886" s="150"/>
    </row>
    <row r="887" spans="17:25" x14ac:dyDescent="0.3">
      <c r="Q887" s="150"/>
      <c r="R887" s="150"/>
      <c r="S887" s="150"/>
      <c r="T887" s="150"/>
      <c r="U887" s="150"/>
      <c r="V887" s="150"/>
      <c r="W887" s="150"/>
      <c r="X887" s="150"/>
      <c r="Y887" s="150"/>
    </row>
    <row r="888" spans="17:25" x14ac:dyDescent="0.3">
      <c r="Q888" s="150"/>
      <c r="R888" s="150"/>
      <c r="S888" s="150"/>
      <c r="T888" s="150"/>
      <c r="U888" s="150"/>
      <c r="V888" s="150"/>
      <c r="W888" s="150"/>
      <c r="X888" s="150"/>
      <c r="Y888" s="150"/>
    </row>
    <row r="889" spans="17:25" x14ac:dyDescent="0.3">
      <c r="Q889" s="150"/>
      <c r="R889" s="150"/>
      <c r="S889" s="150"/>
      <c r="T889" s="150"/>
      <c r="U889" s="150"/>
      <c r="V889" s="150"/>
      <c r="W889" s="150"/>
      <c r="X889" s="150"/>
      <c r="Y889" s="150"/>
    </row>
    <row r="890" spans="17:25" x14ac:dyDescent="0.3">
      <c r="Q890" s="150"/>
      <c r="R890" s="150"/>
      <c r="S890" s="150"/>
      <c r="T890" s="150"/>
      <c r="U890" s="150"/>
      <c r="V890" s="150"/>
      <c r="W890" s="150"/>
      <c r="X890" s="150"/>
      <c r="Y890" s="150"/>
    </row>
    <row r="891" spans="17:25" x14ac:dyDescent="0.3">
      <c r="Q891" s="150"/>
      <c r="R891" s="150"/>
      <c r="S891" s="150"/>
      <c r="T891" s="150"/>
      <c r="U891" s="150"/>
      <c r="V891" s="150"/>
      <c r="W891" s="150"/>
      <c r="X891" s="150"/>
      <c r="Y891" s="150"/>
    </row>
    <row r="892" spans="17:25" x14ac:dyDescent="0.3">
      <c r="Q892" s="150"/>
      <c r="R892" s="150"/>
      <c r="S892" s="150"/>
      <c r="T892" s="150"/>
      <c r="U892" s="150"/>
      <c r="V892" s="150"/>
      <c r="W892" s="150"/>
      <c r="X892" s="150"/>
      <c r="Y892" s="150"/>
    </row>
    <row r="893" spans="17:25" x14ac:dyDescent="0.3">
      <c r="Q893" s="150"/>
      <c r="R893" s="150"/>
      <c r="S893" s="150"/>
      <c r="T893" s="150"/>
      <c r="U893" s="150"/>
      <c r="V893" s="150"/>
      <c r="W893" s="150"/>
      <c r="X893" s="150"/>
      <c r="Y893" s="150"/>
    </row>
    <row r="894" spans="17:25" x14ac:dyDescent="0.3">
      <c r="Q894" s="150"/>
      <c r="R894" s="150"/>
      <c r="S894" s="150"/>
      <c r="T894" s="150"/>
      <c r="U894" s="150"/>
      <c r="V894" s="150"/>
      <c r="W894" s="150"/>
      <c r="X894" s="150"/>
      <c r="Y894" s="150"/>
    </row>
    <row r="895" spans="17:25" x14ac:dyDescent="0.3">
      <c r="Q895" s="150"/>
      <c r="R895" s="150"/>
      <c r="S895" s="150"/>
      <c r="T895" s="150"/>
      <c r="U895" s="150"/>
      <c r="V895" s="150"/>
      <c r="W895" s="150"/>
      <c r="X895" s="150"/>
      <c r="Y895" s="150"/>
    </row>
    <row r="896" spans="17:25" x14ac:dyDescent="0.3">
      <c r="Q896" s="150"/>
      <c r="R896" s="150"/>
      <c r="S896" s="150"/>
      <c r="T896" s="150"/>
      <c r="U896" s="150"/>
      <c r="V896" s="150"/>
      <c r="W896" s="150"/>
      <c r="X896" s="150"/>
      <c r="Y896" s="150"/>
    </row>
    <row r="897" spans="17:25" x14ac:dyDescent="0.3">
      <c r="Q897" s="150"/>
      <c r="R897" s="150"/>
      <c r="S897" s="150"/>
      <c r="T897" s="150"/>
      <c r="U897" s="150"/>
      <c r="V897" s="150"/>
      <c r="W897" s="150"/>
      <c r="X897" s="150"/>
      <c r="Y897" s="150"/>
    </row>
    <row r="898" spans="17:25" x14ac:dyDescent="0.3">
      <c r="Q898" s="150"/>
      <c r="R898" s="150"/>
      <c r="S898" s="150"/>
      <c r="T898" s="150"/>
      <c r="U898" s="150"/>
      <c r="V898" s="150"/>
      <c r="W898" s="150"/>
      <c r="X898" s="150"/>
      <c r="Y898" s="150"/>
    </row>
    <row r="899" spans="17:25" x14ac:dyDescent="0.3">
      <c r="Q899" s="150"/>
      <c r="R899" s="150"/>
      <c r="S899" s="150"/>
      <c r="T899" s="150"/>
      <c r="U899" s="150"/>
      <c r="V899" s="150"/>
      <c r="W899" s="150"/>
      <c r="X899" s="150"/>
      <c r="Y899" s="150"/>
    </row>
    <row r="900" spans="17:25" x14ac:dyDescent="0.3">
      <c r="Q900" s="150"/>
      <c r="R900" s="150"/>
      <c r="S900" s="150"/>
      <c r="T900" s="150"/>
      <c r="U900" s="150"/>
      <c r="V900" s="150"/>
      <c r="W900" s="150"/>
      <c r="X900" s="150"/>
      <c r="Y900" s="150"/>
    </row>
    <row r="901" spans="17:25" x14ac:dyDescent="0.3">
      <c r="Q901" s="150"/>
      <c r="R901" s="150"/>
      <c r="S901" s="150"/>
      <c r="T901" s="150"/>
      <c r="U901" s="150"/>
      <c r="V901" s="150"/>
      <c r="W901" s="150"/>
      <c r="X901" s="150"/>
      <c r="Y901" s="150"/>
    </row>
    <row r="902" spans="17:25" x14ac:dyDescent="0.3">
      <c r="Q902" s="150"/>
      <c r="R902" s="150"/>
      <c r="S902" s="150"/>
      <c r="T902" s="150"/>
      <c r="U902" s="150"/>
      <c r="V902" s="150"/>
      <c r="W902" s="150"/>
      <c r="X902" s="150"/>
      <c r="Y902" s="150"/>
    </row>
    <row r="903" spans="17:25" x14ac:dyDescent="0.3">
      <c r="Q903" s="150"/>
      <c r="R903" s="150"/>
      <c r="S903" s="150"/>
      <c r="T903" s="150"/>
      <c r="U903" s="150"/>
      <c r="V903" s="150"/>
      <c r="W903" s="150"/>
      <c r="X903" s="150"/>
      <c r="Y903" s="150"/>
    </row>
    <row r="904" spans="17:25" x14ac:dyDescent="0.3">
      <c r="Q904" s="150"/>
      <c r="R904" s="150"/>
      <c r="S904" s="150"/>
      <c r="T904" s="150"/>
      <c r="U904" s="150"/>
      <c r="V904" s="150"/>
      <c r="W904" s="150"/>
      <c r="X904" s="150"/>
      <c r="Y904" s="150"/>
    </row>
    <row r="905" spans="17:25" x14ac:dyDescent="0.3">
      <c r="Q905" s="150"/>
      <c r="R905" s="150"/>
      <c r="S905" s="150"/>
      <c r="T905" s="150"/>
      <c r="U905" s="150"/>
      <c r="V905" s="150"/>
      <c r="W905" s="150"/>
      <c r="X905" s="150"/>
      <c r="Y905" s="150"/>
    </row>
    <row r="906" spans="17:25" x14ac:dyDescent="0.3">
      <c r="Q906" s="150"/>
      <c r="R906" s="150"/>
      <c r="S906" s="150"/>
      <c r="T906" s="150"/>
      <c r="U906" s="150"/>
      <c r="V906" s="150"/>
      <c r="W906" s="150"/>
      <c r="X906" s="150"/>
      <c r="Y906" s="150"/>
    </row>
    <row r="907" spans="17:25" x14ac:dyDescent="0.3">
      <c r="Q907" s="150"/>
      <c r="R907" s="150"/>
      <c r="S907" s="150"/>
      <c r="T907" s="150"/>
      <c r="U907" s="150"/>
      <c r="V907" s="150"/>
      <c r="W907" s="150"/>
      <c r="X907" s="150"/>
      <c r="Y907" s="150"/>
    </row>
    <row r="908" spans="17:25" x14ac:dyDescent="0.3">
      <c r="Q908" s="150"/>
      <c r="R908" s="150"/>
      <c r="S908" s="150"/>
      <c r="T908" s="150"/>
      <c r="U908" s="150"/>
      <c r="V908" s="150"/>
      <c r="W908" s="150"/>
      <c r="X908" s="150"/>
      <c r="Y908" s="150"/>
    </row>
    <row r="909" spans="17:25" x14ac:dyDescent="0.3">
      <c r="Q909" s="150"/>
      <c r="R909" s="150"/>
      <c r="S909" s="150"/>
      <c r="T909" s="150"/>
      <c r="U909" s="150"/>
      <c r="V909" s="150"/>
      <c r="W909" s="150"/>
      <c r="X909" s="150"/>
      <c r="Y909" s="150"/>
    </row>
    <row r="910" spans="17:25" x14ac:dyDescent="0.3">
      <c r="Q910" s="150"/>
      <c r="R910" s="150"/>
      <c r="S910" s="150"/>
      <c r="T910" s="150"/>
      <c r="U910" s="150"/>
      <c r="V910" s="150"/>
      <c r="W910" s="150"/>
      <c r="X910" s="150"/>
      <c r="Y910" s="150"/>
    </row>
    <row r="911" spans="17:25" x14ac:dyDescent="0.3">
      <c r="Q911" s="150"/>
      <c r="R911" s="150"/>
      <c r="S911" s="150"/>
      <c r="T911" s="150"/>
      <c r="U911" s="150"/>
      <c r="V911" s="150"/>
      <c r="W911" s="150"/>
      <c r="X911" s="150"/>
      <c r="Y911" s="150"/>
    </row>
    <row r="912" spans="17:25" x14ac:dyDescent="0.3">
      <c r="Q912" s="150"/>
      <c r="R912" s="150"/>
      <c r="S912" s="150"/>
      <c r="T912" s="150"/>
      <c r="U912" s="150"/>
      <c r="V912" s="150"/>
      <c r="W912" s="150"/>
      <c r="X912" s="150"/>
      <c r="Y912" s="150"/>
    </row>
    <row r="913" spans="17:25" x14ac:dyDescent="0.3">
      <c r="Q913" s="150"/>
      <c r="R913" s="150"/>
      <c r="S913" s="150"/>
      <c r="T913" s="150"/>
      <c r="U913" s="150"/>
      <c r="V913" s="150"/>
      <c r="W913" s="150"/>
      <c r="X913" s="150"/>
      <c r="Y913" s="150"/>
    </row>
    <row r="914" spans="17:25" x14ac:dyDescent="0.3">
      <c r="Q914" s="150"/>
      <c r="R914" s="150"/>
      <c r="S914" s="150"/>
      <c r="T914" s="150"/>
      <c r="U914" s="150"/>
      <c r="V914" s="150"/>
      <c r="W914" s="150"/>
      <c r="X914" s="150"/>
      <c r="Y914" s="150"/>
    </row>
    <row r="915" spans="17:25" x14ac:dyDescent="0.3">
      <c r="Q915" s="150"/>
      <c r="R915" s="150"/>
      <c r="S915" s="150"/>
      <c r="T915" s="150"/>
      <c r="U915" s="150"/>
      <c r="V915" s="150"/>
      <c r="W915" s="150"/>
      <c r="X915" s="150"/>
      <c r="Y915" s="150"/>
    </row>
    <row r="916" spans="17:25" x14ac:dyDescent="0.3">
      <c r="Q916" s="150"/>
      <c r="R916" s="150"/>
      <c r="S916" s="150"/>
      <c r="T916" s="150"/>
      <c r="U916" s="150"/>
      <c r="V916" s="150"/>
      <c r="W916" s="150"/>
      <c r="X916" s="150"/>
      <c r="Y916" s="150"/>
    </row>
    <row r="917" spans="17:25" x14ac:dyDescent="0.3">
      <c r="Q917" s="150"/>
      <c r="R917" s="150"/>
      <c r="S917" s="150"/>
      <c r="T917" s="150"/>
      <c r="U917" s="150"/>
      <c r="V917" s="150"/>
      <c r="W917" s="150"/>
      <c r="X917" s="150"/>
      <c r="Y917" s="150"/>
    </row>
    <row r="918" spans="17:25" x14ac:dyDescent="0.3">
      <c r="Q918" s="150"/>
      <c r="R918" s="150"/>
      <c r="S918" s="150"/>
      <c r="T918" s="150"/>
      <c r="U918" s="150"/>
      <c r="V918" s="150"/>
      <c r="W918" s="150"/>
      <c r="X918" s="150"/>
      <c r="Y918" s="150"/>
    </row>
    <row r="919" spans="17:25" x14ac:dyDescent="0.3">
      <c r="Q919" s="150"/>
      <c r="R919" s="150"/>
      <c r="S919" s="150"/>
      <c r="T919" s="150"/>
      <c r="U919" s="150"/>
      <c r="V919" s="150"/>
      <c r="W919" s="150"/>
      <c r="X919" s="150"/>
      <c r="Y919" s="150"/>
    </row>
    <row r="920" spans="17:25" x14ac:dyDescent="0.3">
      <c r="Q920" s="150"/>
      <c r="R920" s="150"/>
      <c r="S920" s="150"/>
      <c r="T920" s="150"/>
      <c r="U920" s="150"/>
      <c r="V920" s="150"/>
      <c r="W920" s="150"/>
      <c r="X920" s="150"/>
      <c r="Y920" s="150"/>
    </row>
    <row r="921" spans="17:25" x14ac:dyDescent="0.3">
      <c r="Q921" s="150"/>
      <c r="R921" s="150"/>
      <c r="S921" s="150"/>
      <c r="T921" s="150"/>
      <c r="U921" s="150"/>
      <c r="V921" s="150"/>
      <c r="W921" s="150"/>
      <c r="X921" s="150"/>
      <c r="Y921" s="150"/>
    </row>
    <row r="922" spans="17:25" x14ac:dyDescent="0.3">
      <c r="Q922" s="150"/>
      <c r="R922" s="150"/>
      <c r="S922" s="150"/>
      <c r="T922" s="150"/>
      <c r="U922" s="150"/>
      <c r="V922" s="150"/>
      <c r="W922" s="150"/>
      <c r="X922" s="150"/>
      <c r="Y922" s="150"/>
    </row>
    <row r="923" spans="17:25" x14ac:dyDescent="0.3">
      <c r="Q923" s="150"/>
      <c r="R923" s="150"/>
      <c r="S923" s="150"/>
      <c r="T923" s="150"/>
      <c r="U923" s="150"/>
      <c r="V923" s="150"/>
      <c r="W923" s="150"/>
      <c r="X923" s="150"/>
      <c r="Y923" s="150"/>
    </row>
    <row r="924" spans="17:25" x14ac:dyDescent="0.3">
      <c r="Q924" s="150"/>
      <c r="R924" s="150"/>
      <c r="S924" s="150"/>
      <c r="T924" s="150"/>
      <c r="U924" s="150"/>
      <c r="V924" s="150"/>
      <c r="W924" s="150"/>
      <c r="X924" s="150"/>
      <c r="Y924" s="150"/>
    </row>
    <row r="925" spans="17:25" x14ac:dyDescent="0.3">
      <c r="Q925" s="150"/>
      <c r="R925" s="150"/>
      <c r="S925" s="150"/>
      <c r="T925" s="150"/>
      <c r="U925" s="150"/>
      <c r="V925" s="150"/>
      <c r="W925" s="150"/>
      <c r="X925" s="150"/>
      <c r="Y925" s="150"/>
    </row>
    <row r="926" spans="17:25" x14ac:dyDescent="0.3">
      <c r="Q926" s="150"/>
      <c r="R926" s="150"/>
      <c r="S926" s="150"/>
      <c r="T926" s="150"/>
      <c r="U926" s="150"/>
      <c r="V926" s="150"/>
      <c r="W926" s="150"/>
      <c r="X926" s="150"/>
      <c r="Y926" s="150"/>
    </row>
    <row r="927" spans="17:25" x14ac:dyDescent="0.3">
      <c r="Q927" s="150"/>
      <c r="R927" s="150"/>
      <c r="S927" s="150"/>
      <c r="T927" s="150"/>
      <c r="U927" s="150"/>
      <c r="V927" s="150"/>
      <c r="W927" s="150"/>
      <c r="X927" s="150"/>
      <c r="Y927" s="150"/>
    </row>
    <row r="928" spans="17:25" x14ac:dyDescent="0.3">
      <c r="Q928" s="150"/>
      <c r="R928" s="150"/>
      <c r="S928" s="150"/>
      <c r="T928" s="150"/>
      <c r="U928" s="150"/>
      <c r="V928" s="150"/>
      <c r="W928" s="150"/>
      <c r="X928" s="150"/>
      <c r="Y928" s="150"/>
    </row>
    <row r="929" spans="17:25" x14ac:dyDescent="0.3">
      <c r="Q929" s="150"/>
      <c r="R929" s="150"/>
      <c r="S929" s="150"/>
      <c r="T929" s="150"/>
      <c r="U929" s="150"/>
      <c r="V929" s="150"/>
      <c r="W929" s="150"/>
      <c r="X929" s="150"/>
      <c r="Y929" s="150"/>
    </row>
    <row r="930" spans="17:25" x14ac:dyDescent="0.3">
      <c r="Q930" s="150"/>
      <c r="R930" s="150"/>
      <c r="S930" s="150"/>
      <c r="T930" s="150"/>
      <c r="U930" s="150"/>
      <c r="V930" s="150"/>
      <c r="W930" s="150"/>
      <c r="X930" s="150"/>
      <c r="Y930" s="150"/>
    </row>
    <row r="931" spans="17:25" x14ac:dyDescent="0.3">
      <c r="Q931" s="150"/>
      <c r="R931" s="150"/>
      <c r="S931" s="150"/>
      <c r="T931" s="150"/>
      <c r="U931" s="150"/>
      <c r="V931" s="150"/>
      <c r="W931" s="150"/>
      <c r="X931" s="150"/>
      <c r="Y931" s="150"/>
    </row>
    <row r="932" spans="17:25" x14ac:dyDescent="0.3">
      <c r="Q932" s="150"/>
      <c r="R932" s="150"/>
      <c r="S932" s="150"/>
      <c r="T932" s="150"/>
      <c r="U932" s="150"/>
      <c r="V932" s="150"/>
      <c r="W932" s="150"/>
      <c r="X932" s="150"/>
      <c r="Y932" s="150"/>
    </row>
    <row r="933" spans="17:25" x14ac:dyDescent="0.3">
      <c r="Q933" s="150"/>
      <c r="R933" s="150"/>
      <c r="S933" s="150"/>
      <c r="T933" s="150"/>
      <c r="U933" s="150"/>
      <c r="V933" s="150"/>
      <c r="W933" s="150"/>
      <c r="X933" s="150"/>
      <c r="Y933" s="150"/>
    </row>
    <row r="934" spans="17:25" x14ac:dyDescent="0.3">
      <c r="Q934" s="150"/>
      <c r="R934" s="150"/>
      <c r="S934" s="150"/>
      <c r="T934" s="150"/>
      <c r="U934" s="150"/>
      <c r="V934" s="150"/>
      <c r="W934" s="150"/>
      <c r="X934" s="150"/>
      <c r="Y934" s="150"/>
    </row>
    <row r="935" spans="17:25" x14ac:dyDescent="0.3">
      <c r="Q935" s="150"/>
      <c r="R935" s="150"/>
      <c r="S935" s="150"/>
      <c r="T935" s="150"/>
      <c r="U935" s="150"/>
      <c r="V935" s="150"/>
      <c r="W935" s="150"/>
      <c r="X935" s="150"/>
      <c r="Y935" s="150"/>
    </row>
    <row r="936" spans="17:25" x14ac:dyDescent="0.3">
      <c r="Q936" s="150"/>
      <c r="R936" s="150"/>
      <c r="S936" s="150"/>
      <c r="T936" s="150"/>
      <c r="U936" s="150"/>
      <c r="V936" s="150"/>
      <c r="W936" s="150"/>
      <c r="X936" s="150"/>
      <c r="Y936" s="150"/>
    </row>
    <row r="937" spans="17:25" x14ac:dyDescent="0.3">
      <c r="Q937" s="150"/>
      <c r="R937" s="150"/>
      <c r="S937" s="150"/>
      <c r="T937" s="150"/>
      <c r="U937" s="150"/>
      <c r="V937" s="150"/>
      <c r="W937" s="150"/>
      <c r="X937" s="150"/>
      <c r="Y937" s="150"/>
    </row>
    <row r="938" spans="17:25" x14ac:dyDescent="0.3">
      <c r="Q938" s="150"/>
      <c r="R938" s="150"/>
      <c r="S938" s="150"/>
      <c r="T938" s="150"/>
      <c r="U938" s="150"/>
      <c r="V938" s="150"/>
      <c r="W938" s="150"/>
      <c r="X938" s="150"/>
      <c r="Y938" s="150"/>
    </row>
    <row r="939" spans="17:25" x14ac:dyDescent="0.3">
      <c r="Q939" s="150"/>
      <c r="R939" s="150"/>
      <c r="S939" s="150"/>
      <c r="T939" s="150"/>
      <c r="U939" s="150"/>
      <c r="V939" s="150"/>
      <c r="W939" s="150"/>
      <c r="X939" s="150"/>
      <c r="Y939" s="150"/>
    </row>
    <row r="940" spans="17:25" x14ac:dyDescent="0.3">
      <c r="Q940" s="150"/>
      <c r="R940" s="150"/>
      <c r="S940" s="150"/>
      <c r="T940" s="150"/>
      <c r="U940" s="150"/>
      <c r="V940" s="150"/>
      <c r="W940" s="150"/>
      <c r="X940" s="150"/>
      <c r="Y940" s="150"/>
    </row>
    <row r="941" spans="17:25" x14ac:dyDescent="0.3">
      <c r="Q941" s="150"/>
      <c r="R941" s="150"/>
      <c r="S941" s="150"/>
      <c r="T941" s="150"/>
      <c r="U941" s="150"/>
      <c r="V941" s="150"/>
      <c r="W941" s="150"/>
      <c r="X941" s="150"/>
      <c r="Y941" s="150"/>
    </row>
    <row r="942" spans="17:25" x14ac:dyDescent="0.3">
      <c r="Q942" s="150"/>
      <c r="R942" s="150"/>
      <c r="S942" s="150"/>
      <c r="T942" s="150"/>
      <c r="U942" s="150"/>
      <c r="V942" s="150"/>
      <c r="W942" s="150"/>
      <c r="X942" s="150"/>
      <c r="Y942" s="150"/>
    </row>
    <row r="943" spans="17:25" x14ac:dyDescent="0.3">
      <c r="Q943" s="150"/>
      <c r="R943" s="150"/>
      <c r="S943" s="150"/>
      <c r="T943" s="150"/>
      <c r="U943" s="150"/>
      <c r="V943" s="150"/>
      <c r="W943" s="150"/>
      <c r="X943" s="150"/>
      <c r="Y943" s="150"/>
    </row>
    <row r="944" spans="17:25" x14ac:dyDescent="0.3">
      <c r="Q944" s="150"/>
      <c r="R944" s="150"/>
      <c r="S944" s="150"/>
      <c r="T944" s="150"/>
      <c r="U944" s="150"/>
      <c r="V944" s="150"/>
      <c r="W944" s="150"/>
      <c r="X944" s="150"/>
      <c r="Y944" s="150"/>
    </row>
    <row r="945" spans="17:25" x14ac:dyDescent="0.3">
      <c r="Q945" s="150"/>
      <c r="R945" s="150"/>
      <c r="S945" s="150"/>
      <c r="T945" s="150"/>
      <c r="U945" s="150"/>
      <c r="V945" s="150"/>
      <c r="W945" s="150"/>
      <c r="X945" s="150"/>
      <c r="Y945" s="150"/>
    </row>
    <row r="946" spans="17:25" x14ac:dyDescent="0.3">
      <c r="Q946" s="150"/>
      <c r="R946" s="150"/>
      <c r="S946" s="150"/>
      <c r="T946" s="150"/>
      <c r="U946" s="150"/>
      <c r="V946" s="150"/>
      <c r="W946" s="150"/>
      <c r="X946" s="150"/>
      <c r="Y946" s="150"/>
    </row>
    <row r="947" spans="17:25" x14ac:dyDescent="0.3">
      <c r="Q947" s="150"/>
      <c r="R947" s="150"/>
      <c r="S947" s="150"/>
      <c r="T947" s="150"/>
      <c r="U947" s="150"/>
      <c r="V947" s="150"/>
      <c r="W947" s="150"/>
      <c r="X947" s="150"/>
      <c r="Y947" s="150"/>
    </row>
    <row r="948" spans="17:25" x14ac:dyDescent="0.3">
      <c r="Q948" s="150"/>
      <c r="R948" s="150"/>
      <c r="S948" s="150"/>
      <c r="T948" s="150"/>
      <c r="U948" s="150"/>
      <c r="V948" s="150"/>
      <c r="W948" s="150"/>
      <c r="X948" s="150"/>
      <c r="Y948" s="150"/>
    </row>
    <row r="949" spans="17:25" x14ac:dyDescent="0.3">
      <c r="Q949" s="150"/>
      <c r="R949" s="150"/>
      <c r="S949" s="150"/>
      <c r="T949" s="150"/>
      <c r="U949" s="150"/>
      <c r="V949" s="150"/>
      <c r="W949" s="150"/>
      <c r="X949" s="150"/>
      <c r="Y949" s="150"/>
    </row>
    <row r="950" spans="17:25" x14ac:dyDescent="0.3">
      <c r="Q950" s="150"/>
      <c r="R950" s="150"/>
      <c r="S950" s="150"/>
      <c r="T950" s="150"/>
      <c r="U950" s="150"/>
      <c r="V950" s="150"/>
      <c r="W950" s="150"/>
      <c r="X950" s="150"/>
      <c r="Y950" s="150"/>
    </row>
    <row r="951" spans="17:25" x14ac:dyDescent="0.3">
      <c r="Q951" s="150"/>
      <c r="R951" s="150"/>
      <c r="S951" s="150"/>
      <c r="T951" s="150"/>
      <c r="U951" s="150"/>
      <c r="V951" s="150"/>
      <c r="W951" s="150"/>
      <c r="X951" s="150"/>
      <c r="Y951" s="150"/>
    </row>
    <row r="952" spans="17:25" x14ac:dyDescent="0.3">
      <c r="Q952" s="150"/>
      <c r="R952" s="150"/>
      <c r="S952" s="150"/>
      <c r="T952" s="150"/>
      <c r="U952" s="150"/>
      <c r="V952" s="150"/>
      <c r="W952" s="150"/>
      <c r="X952" s="150"/>
      <c r="Y952" s="150"/>
    </row>
    <row r="953" spans="17:25" x14ac:dyDescent="0.3">
      <c r="Q953" s="150"/>
      <c r="R953" s="150"/>
      <c r="S953" s="150"/>
      <c r="T953" s="150"/>
      <c r="U953" s="150"/>
      <c r="V953" s="150"/>
      <c r="W953" s="150"/>
      <c r="X953" s="150"/>
      <c r="Y953" s="150"/>
    </row>
    <row r="954" spans="17:25" x14ac:dyDescent="0.3">
      <c r="Q954" s="150"/>
      <c r="R954" s="150"/>
      <c r="S954" s="150"/>
      <c r="T954" s="150"/>
      <c r="U954" s="150"/>
      <c r="V954" s="150"/>
      <c r="W954" s="150"/>
      <c r="X954" s="150"/>
      <c r="Y954" s="150"/>
    </row>
    <row r="955" spans="17:25" x14ac:dyDescent="0.3">
      <c r="Q955" s="150"/>
      <c r="R955" s="150"/>
      <c r="S955" s="150"/>
      <c r="T955" s="150"/>
      <c r="U955" s="150"/>
      <c r="V955" s="150"/>
      <c r="W955" s="150"/>
      <c r="X955" s="150"/>
      <c r="Y955" s="150"/>
    </row>
    <row r="956" spans="17:25" x14ac:dyDescent="0.3">
      <c r="Q956" s="150"/>
      <c r="R956" s="150"/>
      <c r="S956" s="150"/>
      <c r="T956" s="150"/>
      <c r="U956" s="150"/>
      <c r="V956" s="150"/>
      <c r="W956" s="150"/>
      <c r="X956" s="150"/>
      <c r="Y956" s="150"/>
    </row>
    <row r="957" spans="17:25" x14ac:dyDescent="0.3">
      <c r="Q957" s="150"/>
      <c r="R957" s="150"/>
      <c r="S957" s="150"/>
      <c r="T957" s="150"/>
      <c r="U957" s="150"/>
      <c r="V957" s="150"/>
      <c r="W957" s="150"/>
      <c r="X957" s="150"/>
      <c r="Y957" s="150"/>
    </row>
    <row r="958" spans="17:25" x14ac:dyDescent="0.3">
      <c r="Q958" s="150"/>
      <c r="R958" s="150"/>
      <c r="S958" s="150"/>
      <c r="T958" s="150"/>
      <c r="U958" s="150"/>
      <c r="V958" s="150"/>
      <c r="W958" s="150"/>
      <c r="X958" s="150"/>
      <c r="Y958" s="150"/>
    </row>
    <row r="959" spans="17:25" x14ac:dyDescent="0.3">
      <c r="Q959" s="150"/>
      <c r="R959" s="150"/>
      <c r="S959" s="150"/>
      <c r="T959" s="150"/>
      <c r="U959" s="150"/>
      <c r="V959" s="150"/>
      <c r="W959" s="150"/>
      <c r="X959" s="150"/>
      <c r="Y959" s="150"/>
    </row>
    <row r="960" spans="17:25" x14ac:dyDescent="0.3">
      <c r="Q960" s="150"/>
      <c r="R960" s="150"/>
      <c r="S960" s="150"/>
      <c r="T960" s="150"/>
      <c r="U960" s="150"/>
      <c r="V960" s="150"/>
      <c r="W960" s="150"/>
      <c r="X960" s="150"/>
      <c r="Y960" s="150"/>
    </row>
    <row r="961" spans="17:25" x14ac:dyDescent="0.3">
      <c r="Q961" s="150"/>
      <c r="R961" s="150"/>
      <c r="S961" s="150"/>
      <c r="T961" s="150"/>
      <c r="U961" s="150"/>
      <c r="V961" s="150"/>
      <c r="W961" s="150"/>
      <c r="X961" s="150"/>
      <c r="Y961" s="150"/>
    </row>
    <row r="962" spans="17:25" x14ac:dyDescent="0.3">
      <c r="Q962" s="150"/>
      <c r="R962" s="150"/>
      <c r="S962" s="150"/>
      <c r="T962" s="150"/>
      <c r="U962" s="150"/>
      <c r="V962" s="150"/>
      <c r="W962" s="150"/>
      <c r="X962" s="150"/>
      <c r="Y962" s="150"/>
    </row>
    <row r="963" spans="17:25" x14ac:dyDescent="0.3">
      <c r="Q963" s="150"/>
      <c r="R963" s="150"/>
      <c r="S963" s="150"/>
      <c r="T963" s="150"/>
      <c r="U963" s="150"/>
      <c r="V963" s="150"/>
      <c r="W963" s="150"/>
      <c r="X963" s="150"/>
      <c r="Y963" s="150"/>
    </row>
    <row r="964" spans="17:25" x14ac:dyDescent="0.3">
      <c r="Q964" s="150"/>
      <c r="R964" s="150"/>
      <c r="S964" s="150"/>
      <c r="T964" s="150"/>
      <c r="U964" s="150"/>
      <c r="V964" s="150"/>
      <c r="W964" s="150"/>
      <c r="X964" s="150"/>
      <c r="Y964" s="150"/>
    </row>
    <row r="965" spans="17:25" x14ac:dyDescent="0.3">
      <c r="Q965" s="150"/>
      <c r="R965" s="150"/>
      <c r="S965" s="150"/>
      <c r="T965" s="150"/>
      <c r="U965" s="150"/>
      <c r="V965" s="150"/>
      <c r="W965" s="150"/>
      <c r="X965" s="150"/>
      <c r="Y965" s="150"/>
    </row>
    <row r="966" spans="17:25" x14ac:dyDescent="0.3">
      <c r="Q966" s="150"/>
      <c r="R966" s="150"/>
      <c r="S966" s="150"/>
      <c r="T966" s="150"/>
      <c r="U966" s="150"/>
      <c r="V966" s="150"/>
      <c r="W966" s="150"/>
      <c r="X966" s="150"/>
      <c r="Y966" s="150"/>
    </row>
    <row r="967" spans="17:25" x14ac:dyDescent="0.3">
      <c r="Q967" s="150"/>
      <c r="R967" s="150"/>
      <c r="S967" s="150"/>
      <c r="T967" s="150"/>
      <c r="U967" s="150"/>
      <c r="V967" s="150"/>
      <c r="W967" s="150"/>
      <c r="X967" s="150"/>
      <c r="Y967" s="150"/>
    </row>
    <row r="968" spans="17:25" x14ac:dyDescent="0.3">
      <c r="Q968" s="150"/>
      <c r="R968" s="150"/>
      <c r="S968" s="150"/>
      <c r="T968" s="150"/>
      <c r="U968" s="150"/>
      <c r="V968" s="150"/>
      <c r="W968" s="150"/>
      <c r="X968" s="150"/>
      <c r="Y968" s="150"/>
    </row>
    <row r="969" spans="17:25" x14ac:dyDescent="0.3">
      <c r="Q969" s="150"/>
      <c r="R969" s="150"/>
      <c r="S969" s="150"/>
      <c r="T969" s="150"/>
      <c r="U969" s="150"/>
      <c r="V969" s="150"/>
      <c r="W969" s="150"/>
      <c r="X969" s="150"/>
      <c r="Y969" s="150"/>
    </row>
    <row r="970" spans="17:25" x14ac:dyDescent="0.3">
      <c r="Q970" s="150"/>
      <c r="R970" s="150"/>
      <c r="S970" s="150"/>
      <c r="T970" s="150"/>
      <c r="U970" s="150"/>
      <c r="V970" s="150"/>
      <c r="W970" s="150"/>
      <c r="X970" s="150"/>
      <c r="Y970" s="150"/>
    </row>
    <row r="971" spans="17:25" x14ac:dyDescent="0.3">
      <c r="Q971" s="150"/>
      <c r="R971" s="150"/>
      <c r="S971" s="150"/>
      <c r="T971" s="150"/>
      <c r="U971" s="150"/>
      <c r="V971" s="150"/>
      <c r="W971" s="150"/>
      <c r="X971" s="150"/>
      <c r="Y971" s="150"/>
    </row>
    <row r="972" spans="17:25" x14ac:dyDescent="0.3">
      <c r="Q972" s="150"/>
      <c r="R972" s="150"/>
      <c r="S972" s="150"/>
      <c r="T972" s="150"/>
      <c r="U972" s="150"/>
      <c r="V972" s="150"/>
      <c r="W972" s="150"/>
      <c r="X972" s="150"/>
      <c r="Y972" s="150"/>
    </row>
    <row r="973" spans="17:25" x14ac:dyDescent="0.3">
      <c r="Q973" s="150"/>
      <c r="R973" s="150"/>
      <c r="S973" s="150"/>
      <c r="T973" s="150"/>
      <c r="U973" s="150"/>
      <c r="V973" s="150"/>
      <c r="W973" s="150"/>
      <c r="X973" s="150"/>
      <c r="Y973" s="150"/>
    </row>
    <row r="974" spans="17:25" x14ac:dyDescent="0.3">
      <c r="Q974" s="150"/>
      <c r="R974" s="150"/>
      <c r="S974" s="150"/>
      <c r="T974" s="150"/>
      <c r="U974" s="150"/>
      <c r="V974" s="150"/>
      <c r="W974" s="150"/>
      <c r="X974" s="150"/>
      <c r="Y974" s="150"/>
    </row>
    <row r="975" spans="17:25" x14ac:dyDescent="0.3">
      <c r="Q975" s="150"/>
      <c r="R975" s="150"/>
      <c r="S975" s="150"/>
      <c r="T975" s="150"/>
      <c r="U975" s="150"/>
      <c r="V975" s="150"/>
      <c r="W975" s="150"/>
      <c r="X975" s="150"/>
      <c r="Y975" s="150"/>
    </row>
    <row r="976" spans="17:25" x14ac:dyDescent="0.3">
      <c r="Q976" s="150"/>
      <c r="R976" s="150"/>
      <c r="S976" s="150"/>
      <c r="T976" s="150"/>
      <c r="U976" s="150"/>
      <c r="V976" s="150"/>
      <c r="W976" s="150"/>
      <c r="X976" s="150"/>
      <c r="Y976" s="150"/>
    </row>
    <row r="977" spans="17:25" x14ac:dyDescent="0.3">
      <c r="Q977" s="150"/>
      <c r="R977" s="150"/>
      <c r="S977" s="150"/>
      <c r="T977" s="150"/>
      <c r="U977" s="150"/>
      <c r="V977" s="150"/>
      <c r="W977" s="150"/>
      <c r="X977" s="150"/>
      <c r="Y977" s="150"/>
    </row>
    <row r="978" spans="17:25" x14ac:dyDescent="0.3">
      <c r="Q978" s="150"/>
      <c r="R978" s="150"/>
      <c r="S978" s="150"/>
      <c r="T978" s="150"/>
      <c r="U978" s="150"/>
      <c r="V978" s="150"/>
      <c r="W978" s="150"/>
      <c r="X978" s="150"/>
      <c r="Y978" s="150"/>
    </row>
    <row r="979" spans="17:25" x14ac:dyDescent="0.3">
      <c r="Q979" s="150"/>
      <c r="R979" s="150"/>
      <c r="S979" s="150"/>
      <c r="T979" s="150"/>
      <c r="U979" s="150"/>
      <c r="V979" s="150"/>
      <c r="W979" s="150"/>
      <c r="X979" s="150"/>
      <c r="Y979" s="150"/>
    </row>
    <row r="980" spans="17:25" x14ac:dyDescent="0.3">
      <c r="Q980" s="150"/>
      <c r="R980" s="150"/>
      <c r="S980" s="150"/>
      <c r="T980" s="150"/>
      <c r="U980" s="150"/>
      <c r="V980" s="150"/>
      <c r="W980" s="150"/>
      <c r="X980" s="150"/>
      <c r="Y980" s="150"/>
    </row>
    <row r="981" spans="17:25" x14ac:dyDescent="0.3">
      <c r="Q981" s="150"/>
      <c r="R981" s="150"/>
      <c r="S981" s="150"/>
      <c r="T981" s="150"/>
      <c r="U981" s="150"/>
      <c r="V981" s="150"/>
      <c r="W981" s="150"/>
      <c r="X981" s="150"/>
      <c r="Y981" s="150"/>
    </row>
    <row r="982" spans="17:25" x14ac:dyDescent="0.3">
      <c r="Q982" s="150"/>
      <c r="R982" s="150"/>
      <c r="S982" s="150"/>
      <c r="T982" s="150"/>
      <c r="U982" s="150"/>
      <c r="V982" s="150"/>
      <c r="W982" s="150"/>
      <c r="X982" s="150"/>
      <c r="Y982" s="150"/>
    </row>
    <row r="983" spans="17:25" x14ac:dyDescent="0.3">
      <c r="Q983" s="150"/>
      <c r="R983" s="150"/>
      <c r="S983" s="150"/>
      <c r="T983" s="150"/>
      <c r="U983" s="150"/>
      <c r="V983" s="150"/>
      <c r="W983" s="150"/>
      <c r="X983" s="150"/>
      <c r="Y983" s="150"/>
    </row>
    <row r="984" spans="17:25" x14ac:dyDescent="0.3">
      <c r="Q984" s="150"/>
      <c r="R984" s="150"/>
      <c r="S984" s="150"/>
      <c r="T984" s="150"/>
      <c r="U984" s="150"/>
      <c r="V984" s="150"/>
      <c r="W984" s="150"/>
      <c r="X984" s="150"/>
      <c r="Y984" s="150"/>
    </row>
    <row r="985" spans="17:25" x14ac:dyDescent="0.3">
      <c r="Q985" s="150"/>
      <c r="R985" s="150"/>
      <c r="S985" s="150"/>
      <c r="T985" s="150"/>
      <c r="U985" s="150"/>
      <c r="V985" s="150"/>
      <c r="W985" s="150"/>
      <c r="X985" s="150"/>
      <c r="Y985" s="150"/>
    </row>
    <row r="986" spans="17:25" x14ac:dyDescent="0.3">
      <c r="Q986" s="150"/>
      <c r="R986" s="150"/>
      <c r="S986" s="150"/>
      <c r="T986" s="150"/>
      <c r="U986" s="150"/>
      <c r="V986" s="150"/>
      <c r="W986" s="150"/>
      <c r="X986" s="150"/>
      <c r="Y986" s="150"/>
    </row>
    <row r="987" spans="17:25" x14ac:dyDescent="0.3">
      <c r="Q987" s="150"/>
      <c r="R987" s="150"/>
      <c r="S987" s="150"/>
      <c r="T987" s="150"/>
      <c r="U987" s="150"/>
      <c r="V987" s="150"/>
      <c r="W987" s="150"/>
      <c r="X987" s="150"/>
      <c r="Y987" s="150"/>
    </row>
    <row r="988" spans="17:25" x14ac:dyDescent="0.3">
      <c r="Q988" s="150"/>
      <c r="R988" s="150"/>
      <c r="S988" s="150"/>
      <c r="T988" s="150"/>
      <c r="U988" s="150"/>
      <c r="V988" s="150"/>
      <c r="W988" s="150"/>
      <c r="X988" s="150"/>
      <c r="Y988" s="150"/>
    </row>
    <row r="989" spans="17:25" x14ac:dyDescent="0.3">
      <c r="Q989" s="150"/>
      <c r="R989" s="150"/>
      <c r="S989" s="150"/>
      <c r="T989" s="150"/>
      <c r="U989" s="150"/>
      <c r="V989" s="150"/>
      <c r="W989" s="150"/>
      <c r="X989" s="150"/>
      <c r="Y989" s="150"/>
    </row>
    <row r="990" spans="17:25" x14ac:dyDescent="0.3">
      <c r="Q990" s="150"/>
      <c r="R990" s="150"/>
      <c r="S990" s="150"/>
      <c r="T990" s="150"/>
      <c r="U990" s="150"/>
      <c r="V990" s="150"/>
      <c r="W990" s="150"/>
      <c r="X990" s="150"/>
      <c r="Y990" s="150"/>
    </row>
    <row r="991" spans="17:25" x14ac:dyDescent="0.3">
      <c r="Q991" s="150"/>
      <c r="R991" s="150"/>
      <c r="S991" s="150"/>
      <c r="T991" s="150"/>
      <c r="U991" s="150"/>
      <c r="V991" s="150"/>
      <c r="W991" s="150"/>
      <c r="X991" s="150"/>
      <c r="Y991" s="150"/>
    </row>
    <row r="992" spans="17:25" x14ac:dyDescent="0.3">
      <c r="Q992" s="150"/>
      <c r="R992" s="150"/>
      <c r="S992" s="150"/>
      <c r="T992" s="150"/>
      <c r="U992" s="150"/>
      <c r="V992" s="150"/>
      <c r="W992" s="150"/>
      <c r="X992" s="150"/>
      <c r="Y992" s="150"/>
    </row>
    <row r="993" spans="17:25" x14ac:dyDescent="0.3">
      <c r="Q993" s="150"/>
      <c r="R993" s="150"/>
      <c r="S993" s="150"/>
      <c r="T993" s="150"/>
      <c r="U993" s="150"/>
      <c r="V993" s="150"/>
      <c r="W993" s="150"/>
      <c r="X993" s="150"/>
      <c r="Y993" s="150"/>
    </row>
    <row r="994" spans="17:25" x14ac:dyDescent="0.3">
      <c r="Q994" s="150"/>
      <c r="R994" s="150"/>
      <c r="S994" s="150"/>
      <c r="T994" s="150"/>
      <c r="U994" s="150"/>
      <c r="V994" s="150"/>
      <c r="W994" s="150"/>
      <c r="X994" s="150"/>
      <c r="Y994" s="150"/>
    </row>
    <row r="995" spans="17:25" x14ac:dyDescent="0.3">
      <c r="Q995" s="150"/>
      <c r="R995" s="150"/>
      <c r="S995" s="150"/>
      <c r="T995" s="150"/>
      <c r="U995" s="150"/>
      <c r="V995" s="150"/>
      <c r="W995" s="150"/>
      <c r="X995" s="150"/>
      <c r="Y995" s="150"/>
    </row>
    <row r="996" spans="17:25" x14ac:dyDescent="0.3">
      <c r="Q996" s="150"/>
      <c r="R996" s="150"/>
      <c r="S996" s="150"/>
      <c r="T996" s="150"/>
      <c r="U996" s="150"/>
      <c r="V996" s="150"/>
      <c r="W996" s="150"/>
      <c r="X996" s="150"/>
      <c r="Y996" s="150"/>
    </row>
    <row r="997" spans="17:25" x14ac:dyDescent="0.3">
      <c r="Q997" s="150"/>
      <c r="R997" s="150"/>
      <c r="S997" s="150"/>
      <c r="T997" s="150"/>
      <c r="U997" s="150"/>
      <c r="V997" s="150"/>
      <c r="W997" s="150"/>
      <c r="X997" s="150"/>
      <c r="Y997" s="150"/>
    </row>
    <row r="998" spans="17:25" x14ac:dyDescent="0.3">
      <c r="Q998" s="150"/>
      <c r="R998" s="150"/>
      <c r="S998" s="150"/>
      <c r="T998" s="150"/>
      <c r="U998" s="150"/>
      <c r="V998" s="150"/>
      <c r="W998" s="150"/>
      <c r="X998" s="150"/>
      <c r="Y998" s="150"/>
    </row>
    <row r="999" spans="17:25" x14ac:dyDescent="0.3">
      <c r="Q999" s="150"/>
      <c r="R999" s="150"/>
      <c r="S999" s="150"/>
      <c r="T999" s="150"/>
      <c r="U999" s="150"/>
      <c r="V999" s="150"/>
      <c r="W999" s="150"/>
      <c r="X999" s="150"/>
      <c r="Y999" s="150"/>
    </row>
    <row r="1000" spans="17:25" x14ac:dyDescent="0.3">
      <c r="Q1000" s="150"/>
      <c r="R1000" s="150"/>
      <c r="S1000" s="150"/>
      <c r="T1000" s="150"/>
      <c r="U1000" s="150"/>
      <c r="V1000" s="150"/>
      <c r="W1000" s="150"/>
      <c r="X1000" s="150"/>
      <c r="Y1000" s="150"/>
    </row>
    <row r="1001" spans="17:25" x14ac:dyDescent="0.3">
      <c r="Q1001" s="150"/>
      <c r="R1001" s="150"/>
      <c r="S1001" s="150"/>
      <c r="T1001" s="150"/>
      <c r="U1001" s="150"/>
      <c r="V1001" s="150"/>
      <c r="W1001" s="150"/>
      <c r="X1001" s="150"/>
      <c r="Y1001" s="150"/>
    </row>
    <row r="1002" spans="17:25" x14ac:dyDescent="0.3">
      <c r="Q1002" s="150"/>
      <c r="R1002" s="150"/>
      <c r="S1002" s="150"/>
      <c r="T1002" s="150"/>
      <c r="U1002" s="150"/>
      <c r="V1002" s="150"/>
      <c r="W1002" s="150"/>
      <c r="X1002" s="150"/>
      <c r="Y1002" s="150"/>
    </row>
    <row r="1003" spans="17:25" x14ac:dyDescent="0.3">
      <c r="Q1003" s="150"/>
      <c r="R1003" s="150"/>
      <c r="S1003" s="150"/>
      <c r="T1003" s="150"/>
      <c r="U1003" s="150"/>
      <c r="V1003" s="150"/>
      <c r="W1003" s="150"/>
      <c r="X1003" s="150"/>
      <c r="Y1003" s="150"/>
    </row>
    <row r="1004" spans="17:25" x14ac:dyDescent="0.3">
      <c r="Q1004" s="150"/>
      <c r="R1004" s="150"/>
      <c r="S1004" s="150"/>
      <c r="T1004" s="150"/>
      <c r="U1004" s="150"/>
      <c r="V1004" s="150"/>
      <c r="W1004" s="150"/>
      <c r="X1004" s="150"/>
      <c r="Y1004" s="150"/>
    </row>
    <row r="1005" spans="17:25" x14ac:dyDescent="0.3">
      <c r="Q1005" s="150"/>
      <c r="R1005" s="150"/>
      <c r="S1005" s="150"/>
      <c r="T1005" s="150"/>
      <c r="U1005" s="150"/>
      <c r="V1005" s="150"/>
      <c r="W1005" s="150"/>
      <c r="X1005" s="150"/>
      <c r="Y1005" s="150"/>
    </row>
    <row r="1006" spans="17:25" x14ac:dyDescent="0.3">
      <c r="Q1006" s="150"/>
      <c r="R1006" s="150"/>
      <c r="S1006" s="150"/>
      <c r="T1006" s="150"/>
      <c r="U1006" s="150"/>
      <c r="V1006" s="150"/>
      <c r="W1006" s="150"/>
      <c r="X1006" s="150"/>
      <c r="Y1006" s="150"/>
    </row>
    <row r="1007" spans="17:25" x14ac:dyDescent="0.3">
      <c r="Q1007" s="150"/>
      <c r="R1007" s="150"/>
      <c r="S1007" s="150"/>
      <c r="T1007" s="150"/>
      <c r="U1007" s="150"/>
      <c r="V1007" s="150"/>
      <c r="W1007" s="150"/>
      <c r="X1007" s="150"/>
      <c r="Y1007" s="150"/>
    </row>
    <row r="1008" spans="17:25" x14ac:dyDescent="0.3">
      <c r="Q1008" s="150"/>
      <c r="R1008" s="150"/>
      <c r="S1008" s="150"/>
      <c r="T1008" s="150"/>
      <c r="U1008" s="150"/>
      <c r="V1008" s="150"/>
      <c r="W1008" s="150"/>
      <c r="X1008" s="150"/>
      <c r="Y1008" s="150"/>
    </row>
    <row r="1009" spans="17:25" x14ac:dyDescent="0.3">
      <c r="Q1009" s="150"/>
      <c r="R1009" s="150"/>
      <c r="S1009" s="150"/>
      <c r="T1009" s="150"/>
      <c r="U1009" s="150"/>
      <c r="V1009" s="150"/>
      <c r="W1009" s="150"/>
      <c r="X1009" s="150"/>
      <c r="Y1009" s="150"/>
    </row>
    <row r="1010" spans="17:25" x14ac:dyDescent="0.3">
      <c r="Q1010" s="150"/>
      <c r="R1010" s="150"/>
      <c r="S1010" s="150"/>
      <c r="T1010" s="150"/>
      <c r="U1010" s="150"/>
      <c r="V1010" s="150"/>
      <c r="W1010" s="150"/>
      <c r="X1010" s="150"/>
      <c r="Y1010" s="150"/>
    </row>
    <row r="1011" spans="17:25" x14ac:dyDescent="0.3">
      <c r="Q1011" s="150"/>
      <c r="R1011" s="150"/>
      <c r="S1011" s="150"/>
      <c r="T1011" s="150"/>
      <c r="U1011" s="150"/>
      <c r="V1011" s="150"/>
      <c r="W1011" s="150"/>
      <c r="X1011" s="150"/>
      <c r="Y1011" s="150"/>
    </row>
    <row r="1012" spans="17:25" x14ac:dyDescent="0.3">
      <c r="Q1012" s="150"/>
      <c r="R1012" s="150"/>
      <c r="S1012" s="150"/>
      <c r="T1012" s="150"/>
      <c r="U1012" s="150"/>
      <c r="V1012" s="150"/>
      <c r="W1012" s="150"/>
      <c r="X1012" s="150"/>
      <c r="Y1012" s="150"/>
    </row>
    <row r="1013" spans="17:25" x14ac:dyDescent="0.3">
      <c r="Q1013" s="150"/>
      <c r="R1013" s="150"/>
      <c r="S1013" s="150"/>
      <c r="T1013" s="150"/>
      <c r="U1013" s="150"/>
      <c r="V1013" s="150"/>
      <c r="W1013" s="150"/>
      <c r="X1013" s="150"/>
      <c r="Y1013" s="150"/>
    </row>
    <row r="1014" spans="17:25" x14ac:dyDescent="0.3">
      <c r="Q1014" s="150"/>
      <c r="R1014" s="150"/>
      <c r="S1014" s="150"/>
      <c r="T1014" s="150"/>
      <c r="U1014" s="150"/>
      <c r="V1014" s="150"/>
      <c r="W1014" s="150"/>
      <c r="X1014" s="150"/>
      <c r="Y1014" s="150"/>
    </row>
    <row r="1015" spans="17:25" x14ac:dyDescent="0.3">
      <c r="Q1015" s="150"/>
      <c r="R1015" s="150"/>
      <c r="S1015" s="150"/>
      <c r="T1015" s="150"/>
      <c r="U1015" s="150"/>
      <c r="V1015" s="150"/>
      <c r="W1015" s="150"/>
      <c r="X1015" s="150"/>
      <c r="Y1015" s="150"/>
    </row>
    <row r="1016" spans="17:25" x14ac:dyDescent="0.3">
      <c r="Q1016" s="150"/>
      <c r="R1016" s="150"/>
      <c r="S1016" s="150"/>
      <c r="T1016" s="150"/>
      <c r="U1016" s="150"/>
      <c r="V1016" s="150"/>
      <c r="W1016" s="150"/>
      <c r="X1016" s="150"/>
      <c r="Y1016" s="150"/>
    </row>
    <row r="1017" spans="17:25" x14ac:dyDescent="0.3">
      <c r="Q1017" s="150"/>
      <c r="R1017" s="150"/>
      <c r="S1017" s="150"/>
      <c r="T1017" s="150"/>
      <c r="U1017" s="150"/>
      <c r="V1017" s="150"/>
      <c r="W1017" s="150"/>
      <c r="X1017" s="150"/>
      <c r="Y1017" s="150"/>
    </row>
    <row r="1018" spans="17:25" x14ac:dyDescent="0.3">
      <c r="Q1018" s="150"/>
      <c r="R1018" s="150"/>
      <c r="S1018" s="150"/>
      <c r="T1018" s="150"/>
      <c r="U1018" s="150"/>
      <c r="V1018" s="150"/>
      <c r="W1018" s="150"/>
      <c r="X1018" s="150"/>
      <c r="Y1018" s="150"/>
    </row>
    <row r="1019" spans="17:25" x14ac:dyDescent="0.3">
      <c r="Q1019" s="150"/>
      <c r="R1019" s="150"/>
      <c r="S1019" s="150"/>
      <c r="T1019" s="150"/>
      <c r="U1019" s="150"/>
      <c r="V1019" s="150"/>
      <c r="W1019" s="150"/>
      <c r="X1019" s="150"/>
      <c r="Y1019" s="150"/>
    </row>
    <row r="1020" spans="17:25" x14ac:dyDescent="0.3">
      <c r="Q1020" s="150"/>
      <c r="R1020" s="150"/>
      <c r="S1020" s="150"/>
      <c r="T1020" s="150"/>
      <c r="U1020" s="150"/>
      <c r="V1020" s="150"/>
      <c r="W1020" s="150"/>
      <c r="X1020" s="150"/>
      <c r="Y1020" s="150"/>
    </row>
    <row r="1021" spans="17:25" x14ac:dyDescent="0.3">
      <c r="Q1021" s="150"/>
      <c r="R1021" s="150"/>
      <c r="S1021" s="150"/>
      <c r="T1021" s="150"/>
      <c r="U1021" s="150"/>
      <c r="V1021" s="150"/>
      <c r="W1021" s="150"/>
      <c r="X1021" s="150"/>
      <c r="Y1021" s="150"/>
    </row>
    <row r="1022" spans="17:25" x14ac:dyDescent="0.3">
      <c r="Q1022" s="150"/>
      <c r="R1022" s="150"/>
      <c r="S1022" s="150"/>
      <c r="T1022" s="150"/>
      <c r="U1022" s="150"/>
      <c r="V1022" s="150"/>
      <c r="W1022" s="150"/>
      <c r="X1022" s="150"/>
      <c r="Y1022" s="150"/>
    </row>
    <row r="1023" spans="17:25" x14ac:dyDescent="0.3">
      <c r="Q1023" s="150"/>
      <c r="R1023" s="150"/>
      <c r="S1023" s="150"/>
      <c r="T1023" s="150"/>
      <c r="U1023" s="150"/>
      <c r="V1023" s="150"/>
      <c r="W1023" s="150"/>
      <c r="X1023" s="150"/>
      <c r="Y1023" s="150"/>
    </row>
    <row r="1024" spans="17:25" x14ac:dyDescent="0.3">
      <c r="Q1024" s="150"/>
      <c r="R1024" s="150"/>
      <c r="S1024" s="150"/>
      <c r="T1024" s="150"/>
      <c r="U1024" s="150"/>
      <c r="V1024" s="150"/>
      <c r="W1024" s="150"/>
      <c r="X1024" s="150"/>
      <c r="Y1024" s="150"/>
    </row>
    <row r="1025" spans="17:25" x14ac:dyDescent="0.3">
      <c r="Q1025" s="150"/>
      <c r="R1025" s="150"/>
      <c r="S1025" s="150"/>
      <c r="T1025" s="150"/>
      <c r="U1025" s="150"/>
      <c r="V1025" s="150"/>
      <c r="W1025" s="150"/>
      <c r="X1025" s="150"/>
      <c r="Y1025" s="150"/>
    </row>
    <row r="1026" spans="17:25" x14ac:dyDescent="0.3">
      <c r="Q1026" s="150"/>
      <c r="R1026" s="150"/>
      <c r="S1026" s="150"/>
      <c r="T1026" s="150"/>
      <c r="U1026" s="150"/>
      <c r="V1026" s="150"/>
      <c r="W1026" s="150"/>
      <c r="X1026" s="150"/>
      <c r="Y1026" s="150"/>
    </row>
    <row r="1027" spans="17:25" x14ac:dyDescent="0.3">
      <c r="Q1027" s="150"/>
      <c r="R1027" s="150"/>
      <c r="S1027" s="150"/>
      <c r="T1027" s="150"/>
      <c r="U1027" s="150"/>
      <c r="V1027" s="150"/>
      <c r="W1027" s="150"/>
      <c r="X1027" s="150"/>
      <c r="Y1027" s="150"/>
    </row>
    <row r="1028" spans="17:25" x14ac:dyDescent="0.3">
      <c r="Q1028" s="150"/>
      <c r="R1028" s="150"/>
      <c r="S1028" s="150"/>
      <c r="T1028" s="150"/>
      <c r="U1028" s="150"/>
      <c r="V1028" s="150"/>
      <c r="W1028" s="150"/>
      <c r="X1028" s="150"/>
      <c r="Y1028" s="150"/>
    </row>
    <row r="1029" spans="17:25" x14ac:dyDescent="0.3">
      <c r="Q1029" s="150"/>
      <c r="R1029" s="150"/>
      <c r="S1029" s="150"/>
      <c r="T1029" s="150"/>
      <c r="U1029" s="150"/>
      <c r="V1029" s="150"/>
      <c r="W1029" s="150"/>
      <c r="X1029" s="150"/>
      <c r="Y1029" s="150"/>
    </row>
    <row r="1030" spans="17:25" x14ac:dyDescent="0.3">
      <c r="Q1030" s="150"/>
      <c r="R1030" s="150"/>
      <c r="S1030" s="150"/>
      <c r="T1030" s="150"/>
      <c r="U1030" s="150"/>
      <c r="V1030" s="150"/>
      <c r="W1030" s="150"/>
      <c r="X1030" s="150"/>
      <c r="Y1030" s="150"/>
    </row>
    <row r="1031" spans="17:25" x14ac:dyDescent="0.3">
      <c r="Q1031" s="150"/>
      <c r="R1031" s="150"/>
      <c r="S1031" s="150"/>
      <c r="T1031" s="150"/>
      <c r="U1031" s="150"/>
      <c r="V1031" s="150"/>
      <c r="W1031" s="150"/>
      <c r="X1031" s="150"/>
      <c r="Y1031" s="150"/>
    </row>
    <row r="1032" spans="17:25" x14ac:dyDescent="0.3">
      <c r="Q1032" s="150"/>
      <c r="R1032" s="150"/>
      <c r="S1032" s="150"/>
      <c r="T1032" s="150"/>
      <c r="U1032" s="150"/>
      <c r="V1032" s="150"/>
      <c r="W1032" s="150"/>
      <c r="X1032" s="150"/>
      <c r="Y1032" s="150"/>
    </row>
    <row r="1033" spans="17:25" x14ac:dyDescent="0.3">
      <c r="Q1033" s="150"/>
      <c r="R1033" s="150"/>
      <c r="S1033" s="150"/>
      <c r="T1033" s="150"/>
      <c r="U1033" s="150"/>
      <c r="V1033" s="150"/>
      <c r="W1033" s="150"/>
      <c r="X1033" s="150"/>
      <c r="Y1033" s="150"/>
    </row>
    <row r="1034" spans="17:25" x14ac:dyDescent="0.3">
      <c r="Q1034" s="150"/>
      <c r="R1034" s="150"/>
      <c r="S1034" s="150"/>
      <c r="T1034" s="150"/>
      <c r="U1034" s="150"/>
      <c r="V1034" s="150"/>
      <c r="W1034" s="150"/>
      <c r="X1034" s="150"/>
      <c r="Y1034" s="150"/>
    </row>
    <row r="1035" spans="17:25" x14ac:dyDescent="0.3">
      <c r="Q1035" s="150"/>
      <c r="R1035" s="150"/>
      <c r="S1035" s="150"/>
      <c r="T1035" s="150"/>
      <c r="U1035" s="150"/>
      <c r="V1035" s="150"/>
      <c r="W1035" s="150"/>
      <c r="X1035" s="150"/>
      <c r="Y1035" s="150"/>
    </row>
    <row r="1036" spans="17:25" x14ac:dyDescent="0.3">
      <c r="Q1036" s="150"/>
      <c r="R1036" s="150"/>
      <c r="S1036" s="150"/>
      <c r="T1036" s="150"/>
      <c r="U1036" s="150"/>
      <c r="V1036" s="150"/>
      <c r="W1036" s="150"/>
      <c r="X1036" s="150"/>
      <c r="Y1036" s="150"/>
    </row>
    <row r="1037" spans="17:25" x14ac:dyDescent="0.3">
      <c r="Q1037" s="150"/>
      <c r="R1037" s="150"/>
      <c r="S1037" s="150"/>
      <c r="T1037" s="150"/>
      <c r="U1037" s="150"/>
      <c r="V1037" s="150"/>
      <c r="W1037" s="150"/>
      <c r="X1037" s="150"/>
      <c r="Y1037" s="150"/>
    </row>
    <row r="1038" spans="17:25" x14ac:dyDescent="0.3">
      <c r="Q1038" s="150"/>
      <c r="R1038" s="150"/>
      <c r="S1038" s="150"/>
      <c r="T1038" s="150"/>
      <c r="U1038" s="150"/>
      <c r="V1038" s="150"/>
      <c r="W1038" s="150"/>
      <c r="X1038" s="150"/>
      <c r="Y1038" s="150"/>
    </row>
    <row r="1039" spans="17:25" x14ac:dyDescent="0.3">
      <c r="Q1039" s="150"/>
      <c r="R1039" s="150"/>
      <c r="S1039" s="150"/>
      <c r="T1039" s="150"/>
      <c r="U1039" s="150"/>
      <c r="V1039" s="150"/>
      <c r="W1039" s="150"/>
      <c r="X1039" s="150"/>
      <c r="Y1039" s="150"/>
    </row>
    <row r="1040" spans="17:25" x14ac:dyDescent="0.3">
      <c r="Q1040" s="150"/>
      <c r="R1040" s="150"/>
      <c r="S1040" s="150"/>
      <c r="T1040" s="150"/>
      <c r="U1040" s="150"/>
      <c r="V1040" s="150"/>
      <c r="W1040" s="150"/>
      <c r="X1040" s="150"/>
      <c r="Y1040" s="150"/>
    </row>
    <row r="1041" spans="17:25" x14ac:dyDescent="0.3">
      <c r="Q1041" s="150"/>
      <c r="R1041" s="150"/>
      <c r="S1041" s="150"/>
      <c r="T1041" s="150"/>
      <c r="U1041" s="150"/>
      <c r="V1041" s="150"/>
      <c r="W1041" s="150"/>
      <c r="X1041" s="150"/>
      <c r="Y1041" s="150"/>
    </row>
    <row r="1042" spans="17:25" x14ac:dyDescent="0.3">
      <c r="Q1042" s="150"/>
      <c r="R1042" s="150"/>
      <c r="S1042" s="150"/>
      <c r="T1042" s="150"/>
      <c r="U1042" s="150"/>
      <c r="V1042" s="150"/>
      <c r="W1042" s="150"/>
      <c r="X1042" s="150"/>
      <c r="Y1042" s="150"/>
    </row>
    <row r="1043" spans="17:25" x14ac:dyDescent="0.3">
      <c r="Q1043" s="150"/>
      <c r="R1043" s="150"/>
      <c r="S1043" s="150"/>
      <c r="T1043" s="150"/>
      <c r="U1043" s="150"/>
      <c r="V1043" s="150"/>
      <c r="W1043" s="150"/>
      <c r="X1043" s="150"/>
      <c r="Y1043" s="150"/>
    </row>
    <row r="1044" spans="17:25" x14ac:dyDescent="0.3">
      <c r="Q1044" s="150"/>
      <c r="R1044" s="150"/>
      <c r="S1044" s="150"/>
      <c r="T1044" s="150"/>
      <c r="U1044" s="150"/>
      <c r="V1044" s="150"/>
      <c r="W1044" s="150"/>
      <c r="X1044" s="150"/>
      <c r="Y1044" s="150"/>
    </row>
    <row r="1045" spans="17:25" x14ac:dyDescent="0.3">
      <c r="Q1045" s="150"/>
      <c r="R1045" s="150"/>
      <c r="S1045" s="150"/>
      <c r="T1045" s="150"/>
      <c r="U1045" s="150"/>
      <c r="V1045" s="150"/>
      <c r="W1045" s="150"/>
      <c r="X1045" s="150"/>
      <c r="Y1045" s="150"/>
    </row>
    <row r="1046" spans="17:25" x14ac:dyDescent="0.3">
      <c r="Q1046" s="150"/>
      <c r="R1046" s="150"/>
      <c r="S1046" s="150"/>
      <c r="T1046" s="150"/>
      <c r="U1046" s="150"/>
      <c r="V1046" s="150"/>
      <c r="W1046" s="150"/>
      <c r="X1046" s="150"/>
      <c r="Y1046" s="150"/>
    </row>
    <row r="1047" spans="17:25" x14ac:dyDescent="0.3">
      <c r="Q1047" s="150"/>
      <c r="R1047" s="150"/>
      <c r="S1047" s="150"/>
      <c r="T1047" s="150"/>
      <c r="U1047" s="150"/>
      <c r="V1047" s="150"/>
      <c r="W1047" s="150"/>
      <c r="X1047" s="150"/>
      <c r="Y1047" s="150"/>
    </row>
    <row r="1048" spans="17:25" x14ac:dyDescent="0.3">
      <c r="Q1048" s="150"/>
      <c r="R1048" s="150"/>
      <c r="S1048" s="150"/>
      <c r="T1048" s="150"/>
      <c r="U1048" s="150"/>
      <c r="V1048" s="150"/>
      <c r="W1048" s="150"/>
      <c r="X1048" s="150"/>
      <c r="Y1048" s="150"/>
    </row>
    <row r="1049" spans="17:25" x14ac:dyDescent="0.3">
      <c r="Q1049" s="150"/>
      <c r="R1049" s="150"/>
      <c r="S1049" s="150"/>
      <c r="T1049" s="150"/>
      <c r="U1049" s="150"/>
      <c r="V1049" s="150"/>
      <c r="W1049" s="150"/>
      <c r="X1049" s="150"/>
      <c r="Y1049" s="150"/>
    </row>
    <row r="1050" spans="17:25" x14ac:dyDescent="0.3">
      <c r="Q1050" s="150"/>
      <c r="R1050" s="150"/>
      <c r="S1050" s="150"/>
      <c r="T1050" s="150"/>
      <c r="U1050" s="150"/>
      <c r="V1050" s="150"/>
      <c r="W1050" s="150"/>
      <c r="X1050" s="150"/>
      <c r="Y1050" s="150"/>
    </row>
    <row r="1051" spans="17:25" x14ac:dyDescent="0.3">
      <c r="Q1051" s="150"/>
      <c r="R1051" s="150"/>
      <c r="S1051" s="150"/>
      <c r="T1051" s="150"/>
      <c r="U1051" s="150"/>
      <c r="V1051" s="150"/>
      <c r="W1051" s="150"/>
      <c r="X1051" s="150"/>
      <c r="Y1051" s="150"/>
    </row>
    <row r="1052" spans="17:25" x14ac:dyDescent="0.3">
      <c r="Q1052" s="150"/>
      <c r="R1052" s="150"/>
      <c r="S1052" s="150"/>
      <c r="T1052" s="150"/>
      <c r="U1052" s="150"/>
      <c r="V1052" s="150"/>
      <c r="W1052" s="150"/>
      <c r="X1052" s="150"/>
      <c r="Y1052" s="150"/>
    </row>
    <row r="1053" spans="17:25" x14ac:dyDescent="0.3">
      <c r="Q1053" s="150"/>
      <c r="R1053" s="150"/>
      <c r="S1053" s="150"/>
      <c r="T1053" s="150"/>
      <c r="U1053" s="150"/>
      <c r="V1053" s="150"/>
      <c r="W1053" s="150"/>
      <c r="X1053" s="150"/>
      <c r="Y1053" s="150"/>
    </row>
    <row r="1054" spans="17:25" x14ac:dyDescent="0.3">
      <c r="Q1054" s="150"/>
      <c r="R1054" s="150"/>
      <c r="S1054" s="150"/>
      <c r="T1054" s="150"/>
      <c r="U1054" s="150"/>
      <c r="V1054" s="150"/>
      <c r="W1054" s="150"/>
      <c r="X1054" s="150"/>
      <c r="Y1054" s="150"/>
    </row>
    <row r="1055" spans="17:25" x14ac:dyDescent="0.3">
      <c r="Q1055" s="150"/>
      <c r="R1055" s="150"/>
      <c r="S1055" s="150"/>
      <c r="T1055" s="150"/>
      <c r="U1055" s="150"/>
      <c r="V1055" s="150"/>
      <c r="W1055" s="150"/>
      <c r="X1055" s="150"/>
      <c r="Y1055" s="150"/>
    </row>
    <row r="1056" spans="17:25" x14ac:dyDescent="0.3">
      <c r="Q1056" s="150"/>
      <c r="R1056" s="150"/>
      <c r="S1056" s="150"/>
      <c r="T1056" s="150"/>
      <c r="U1056" s="150"/>
      <c r="V1056" s="150"/>
      <c r="W1056" s="150"/>
      <c r="X1056" s="150"/>
      <c r="Y1056" s="150"/>
    </row>
    <row r="1057" spans="17:25" x14ac:dyDescent="0.3">
      <c r="Q1057" s="150"/>
      <c r="R1057" s="150"/>
      <c r="S1057" s="150"/>
      <c r="T1057" s="150"/>
      <c r="U1057" s="150"/>
      <c r="V1057" s="150"/>
      <c r="W1057" s="150"/>
      <c r="X1057" s="150"/>
      <c r="Y1057" s="150"/>
    </row>
    <row r="1058" spans="17:25" x14ac:dyDescent="0.3">
      <c r="Q1058" s="150"/>
      <c r="R1058" s="150"/>
      <c r="S1058" s="150"/>
      <c r="T1058" s="150"/>
      <c r="U1058" s="150"/>
      <c r="V1058" s="150"/>
      <c r="W1058" s="150"/>
      <c r="X1058" s="150"/>
      <c r="Y1058" s="150"/>
    </row>
    <row r="1059" spans="17:25" x14ac:dyDescent="0.3">
      <c r="Q1059" s="150"/>
      <c r="R1059" s="150"/>
      <c r="S1059" s="150"/>
      <c r="T1059" s="150"/>
      <c r="U1059" s="150"/>
      <c r="V1059" s="150"/>
      <c r="W1059" s="150"/>
      <c r="X1059" s="150"/>
      <c r="Y1059" s="150"/>
    </row>
    <row r="1060" spans="17:25" x14ac:dyDescent="0.3">
      <c r="Q1060" s="150"/>
      <c r="R1060" s="150"/>
      <c r="S1060" s="150"/>
      <c r="T1060" s="150"/>
      <c r="U1060" s="150"/>
      <c r="V1060" s="150"/>
      <c r="W1060" s="150"/>
      <c r="X1060" s="150"/>
      <c r="Y1060" s="150"/>
    </row>
    <row r="1061" spans="17:25" x14ac:dyDescent="0.3">
      <c r="Q1061" s="150"/>
      <c r="R1061" s="150"/>
      <c r="S1061" s="150"/>
      <c r="T1061" s="150"/>
      <c r="U1061" s="150"/>
      <c r="V1061" s="150"/>
      <c r="W1061" s="150"/>
      <c r="X1061" s="150"/>
      <c r="Y1061" s="150"/>
    </row>
    <row r="1062" spans="17:25" x14ac:dyDescent="0.3">
      <c r="Q1062" s="150"/>
      <c r="R1062" s="150"/>
      <c r="S1062" s="150"/>
      <c r="T1062" s="150"/>
      <c r="U1062" s="150"/>
      <c r="V1062" s="150"/>
      <c r="W1062" s="150"/>
      <c r="X1062" s="150"/>
      <c r="Y1062" s="150"/>
    </row>
    <row r="1063" spans="17:25" x14ac:dyDescent="0.3">
      <c r="Q1063" s="150"/>
      <c r="R1063" s="150"/>
      <c r="S1063" s="150"/>
      <c r="T1063" s="150"/>
      <c r="U1063" s="150"/>
      <c r="V1063" s="150"/>
      <c r="W1063" s="150"/>
      <c r="X1063" s="150"/>
      <c r="Y1063" s="150"/>
    </row>
    <row r="1064" spans="17:25" x14ac:dyDescent="0.3">
      <c r="Q1064" s="150"/>
      <c r="R1064" s="150"/>
      <c r="S1064" s="150"/>
      <c r="T1064" s="150"/>
      <c r="U1064" s="150"/>
      <c r="V1064" s="150"/>
      <c r="W1064" s="150"/>
      <c r="X1064" s="150"/>
      <c r="Y1064" s="150"/>
    </row>
    <row r="1065" spans="17:25" x14ac:dyDescent="0.3">
      <c r="Q1065" s="150"/>
      <c r="R1065" s="150"/>
      <c r="S1065" s="150"/>
      <c r="T1065" s="150"/>
      <c r="U1065" s="150"/>
      <c r="V1065" s="150"/>
      <c r="W1065" s="150"/>
      <c r="X1065" s="150"/>
      <c r="Y1065" s="150"/>
    </row>
    <row r="1066" spans="17:25" x14ac:dyDescent="0.3">
      <c r="Q1066" s="150"/>
      <c r="R1066" s="150"/>
      <c r="S1066" s="150"/>
      <c r="T1066" s="150"/>
      <c r="U1066" s="150"/>
      <c r="V1066" s="150"/>
      <c r="W1066" s="150"/>
      <c r="X1066" s="150"/>
      <c r="Y1066" s="150"/>
    </row>
    <row r="1067" spans="17:25" x14ac:dyDescent="0.3">
      <c r="Q1067" s="150"/>
      <c r="R1067" s="150"/>
      <c r="S1067" s="150"/>
      <c r="T1067" s="150"/>
      <c r="U1067" s="150"/>
      <c r="V1067" s="150"/>
      <c r="W1067" s="150"/>
      <c r="X1067" s="150"/>
      <c r="Y1067" s="150"/>
    </row>
    <row r="1068" spans="17:25" x14ac:dyDescent="0.3">
      <c r="Q1068" s="150"/>
      <c r="R1068" s="150"/>
      <c r="S1068" s="150"/>
      <c r="T1068" s="150"/>
      <c r="U1068" s="150"/>
      <c r="V1068" s="150"/>
      <c r="W1068" s="150"/>
      <c r="X1068" s="150"/>
      <c r="Y1068" s="150"/>
    </row>
    <row r="1069" spans="17:25" x14ac:dyDescent="0.3">
      <c r="Q1069" s="150"/>
      <c r="R1069" s="150"/>
      <c r="S1069" s="150"/>
      <c r="T1069" s="150"/>
      <c r="U1069" s="150"/>
      <c r="V1069" s="150"/>
      <c r="W1069" s="150"/>
      <c r="X1069" s="150"/>
      <c r="Y1069" s="150"/>
    </row>
    <row r="1070" spans="17:25" x14ac:dyDescent="0.3">
      <c r="Q1070" s="150"/>
      <c r="R1070" s="150"/>
      <c r="S1070" s="150"/>
      <c r="T1070" s="150"/>
      <c r="U1070" s="150"/>
      <c r="V1070" s="150"/>
      <c r="W1070" s="150"/>
      <c r="X1070" s="150"/>
      <c r="Y1070" s="150"/>
    </row>
    <row r="1071" spans="17:25" x14ac:dyDescent="0.3">
      <c r="Q1071" s="150"/>
      <c r="R1071" s="150"/>
      <c r="S1071" s="150"/>
      <c r="T1071" s="150"/>
      <c r="U1071" s="150"/>
      <c r="V1071" s="150"/>
      <c r="W1071" s="150"/>
      <c r="X1071" s="150"/>
      <c r="Y1071" s="150"/>
    </row>
    <row r="1072" spans="17:25" x14ac:dyDescent="0.3">
      <c r="Q1072" s="150"/>
      <c r="R1072" s="150"/>
      <c r="S1072" s="150"/>
      <c r="T1072" s="150"/>
      <c r="U1072" s="150"/>
      <c r="V1072" s="150"/>
      <c r="W1072" s="150"/>
      <c r="X1072" s="150"/>
      <c r="Y1072" s="150"/>
    </row>
    <row r="1073" spans="17:25" x14ac:dyDescent="0.3">
      <c r="Q1073" s="150"/>
      <c r="R1073" s="150"/>
      <c r="S1073" s="150"/>
      <c r="T1073" s="150"/>
      <c r="U1073" s="150"/>
      <c r="V1073" s="150"/>
      <c r="W1073" s="150"/>
      <c r="X1073" s="150"/>
      <c r="Y1073" s="150"/>
    </row>
    <row r="1074" spans="17:25" x14ac:dyDescent="0.3">
      <c r="Q1074" s="150"/>
      <c r="R1074" s="150"/>
      <c r="S1074" s="150"/>
      <c r="T1074" s="150"/>
      <c r="U1074" s="150"/>
      <c r="V1074" s="150"/>
      <c r="W1074" s="150"/>
      <c r="X1074" s="150"/>
      <c r="Y1074" s="150"/>
    </row>
    <row r="1075" spans="17:25" x14ac:dyDescent="0.3">
      <c r="Q1075" s="150"/>
      <c r="R1075" s="150"/>
      <c r="S1075" s="150"/>
      <c r="T1075" s="150"/>
      <c r="U1075" s="150"/>
      <c r="V1075" s="150"/>
      <c r="W1075" s="150"/>
      <c r="X1075" s="150"/>
      <c r="Y1075" s="150"/>
    </row>
    <row r="1076" spans="17:25" x14ac:dyDescent="0.3">
      <c r="Q1076" s="150"/>
      <c r="R1076" s="150"/>
      <c r="S1076" s="150"/>
      <c r="T1076" s="150"/>
      <c r="U1076" s="150"/>
      <c r="V1076" s="150"/>
      <c r="W1076" s="150"/>
      <c r="X1076" s="150"/>
      <c r="Y1076" s="150"/>
    </row>
    <row r="1077" spans="17:25" x14ac:dyDescent="0.3">
      <c r="Q1077" s="150"/>
      <c r="R1077" s="150"/>
      <c r="S1077" s="150"/>
      <c r="T1077" s="150"/>
      <c r="U1077" s="150"/>
      <c r="V1077" s="150"/>
      <c r="W1077" s="150"/>
      <c r="X1077" s="150"/>
      <c r="Y1077" s="150"/>
    </row>
    <row r="1078" spans="17:25" x14ac:dyDescent="0.3">
      <c r="Q1078" s="150"/>
      <c r="R1078" s="150"/>
      <c r="S1078" s="150"/>
      <c r="T1078" s="150"/>
      <c r="U1078" s="150"/>
      <c r="V1078" s="150"/>
      <c r="W1078" s="150"/>
      <c r="X1078" s="150"/>
      <c r="Y1078" s="150"/>
    </row>
    <row r="1079" spans="17:25" x14ac:dyDescent="0.3">
      <c r="Q1079" s="150"/>
      <c r="R1079" s="150"/>
      <c r="S1079" s="150"/>
      <c r="T1079" s="150"/>
      <c r="U1079" s="150"/>
      <c r="V1079" s="150"/>
      <c r="W1079" s="150"/>
      <c r="X1079" s="150"/>
      <c r="Y1079" s="150"/>
    </row>
    <row r="1080" spans="17:25" x14ac:dyDescent="0.3">
      <c r="Q1080" s="150"/>
      <c r="R1080" s="150"/>
      <c r="S1080" s="150"/>
      <c r="T1080" s="150"/>
      <c r="U1080" s="150"/>
      <c r="V1080" s="150"/>
      <c r="W1080" s="150"/>
      <c r="X1080" s="150"/>
      <c r="Y1080" s="150"/>
    </row>
    <row r="1081" spans="17:25" x14ac:dyDescent="0.3">
      <c r="Q1081" s="150"/>
      <c r="R1081" s="150"/>
      <c r="S1081" s="150"/>
      <c r="T1081" s="150"/>
      <c r="U1081" s="150"/>
      <c r="V1081" s="150"/>
      <c r="W1081" s="150"/>
      <c r="X1081" s="150"/>
      <c r="Y1081" s="150"/>
    </row>
    <row r="1082" spans="17:25" x14ac:dyDescent="0.3">
      <c r="Q1082" s="150"/>
      <c r="R1082" s="150"/>
      <c r="S1082" s="150"/>
      <c r="T1082" s="150"/>
      <c r="U1082" s="150"/>
      <c r="V1082" s="150"/>
      <c r="W1082" s="150"/>
      <c r="X1082" s="150"/>
      <c r="Y1082" s="150"/>
    </row>
    <row r="1083" spans="17:25" x14ac:dyDescent="0.3">
      <c r="Q1083" s="150"/>
      <c r="R1083" s="150"/>
      <c r="S1083" s="150"/>
      <c r="T1083" s="150"/>
      <c r="U1083" s="150"/>
      <c r="V1083" s="150"/>
      <c r="W1083" s="150"/>
      <c r="X1083" s="150"/>
      <c r="Y1083" s="150"/>
    </row>
    <row r="1084" spans="17:25" x14ac:dyDescent="0.3">
      <c r="Q1084" s="150"/>
      <c r="R1084" s="150"/>
      <c r="S1084" s="150"/>
      <c r="T1084" s="150"/>
      <c r="U1084" s="150"/>
      <c r="V1084" s="150"/>
      <c r="W1084" s="150"/>
      <c r="X1084" s="150"/>
      <c r="Y1084" s="150"/>
    </row>
    <row r="1085" spans="17:25" x14ac:dyDescent="0.3">
      <c r="Q1085" s="150"/>
      <c r="R1085" s="150"/>
      <c r="S1085" s="150"/>
      <c r="T1085" s="150"/>
      <c r="U1085" s="150"/>
      <c r="V1085" s="150"/>
      <c r="W1085" s="150"/>
      <c r="X1085" s="150"/>
      <c r="Y1085" s="150"/>
    </row>
    <row r="1086" spans="17:25" x14ac:dyDescent="0.3">
      <c r="Q1086" s="150"/>
      <c r="R1086" s="150"/>
      <c r="S1086" s="150"/>
      <c r="T1086" s="150"/>
      <c r="U1086" s="150"/>
      <c r="V1086" s="150"/>
      <c r="W1086" s="150"/>
      <c r="X1086" s="150"/>
      <c r="Y1086" s="150"/>
    </row>
    <row r="1087" spans="17:25" x14ac:dyDescent="0.3">
      <c r="Q1087" s="150"/>
      <c r="R1087" s="150"/>
      <c r="S1087" s="150"/>
      <c r="T1087" s="150"/>
      <c r="U1087" s="150"/>
      <c r="V1087" s="150"/>
      <c r="W1087" s="150"/>
      <c r="X1087" s="150"/>
      <c r="Y1087" s="150"/>
    </row>
    <row r="1088" spans="17:25" x14ac:dyDescent="0.3">
      <c r="Q1088" s="150"/>
      <c r="R1088" s="150"/>
      <c r="S1088" s="150"/>
      <c r="T1088" s="150"/>
      <c r="U1088" s="150"/>
      <c r="V1088" s="150"/>
      <c r="W1088" s="150"/>
      <c r="X1088" s="150"/>
      <c r="Y1088" s="150"/>
    </row>
    <row r="1089" spans="17:25" x14ac:dyDescent="0.3">
      <c r="Q1089" s="150"/>
      <c r="R1089" s="150"/>
      <c r="S1089" s="150"/>
      <c r="T1089" s="150"/>
      <c r="U1089" s="150"/>
      <c r="V1089" s="150"/>
      <c r="W1089" s="150"/>
      <c r="X1089" s="150"/>
      <c r="Y1089" s="150"/>
    </row>
    <row r="1090" spans="17:25" x14ac:dyDescent="0.3">
      <c r="Q1090" s="150"/>
      <c r="R1090" s="150"/>
      <c r="S1090" s="150"/>
      <c r="T1090" s="150"/>
      <c r="U1090" s="150"/>
      <c r="V1090" s="150"/>
      <c r="W1090" s="150"/>
      <c r="X1090" s="150"/>
      <c r="Y1090" s="150"/>
    </row>
    <row r="1091" spans="17:25" x14ac:dyDescent="0.3">
      <c r="Q1091" s="150"/>
      <c r="R1091" s="150"/>
      <c r="S1091" s="150"/>
      <c r="T1091" s="150"/>
      <c r="U1091" s="150"/>
      <c r="V1091" s="150"/>
      <c r="W1091" s="150"/>
      <c r="X1091" s="150"/>
      <c r="Y1091" s="150"/>
    </row>
    <row r="1092" spans="17:25" x14ac:dyDescent="0.3">
      <c r="Q1092" s="150"/>
      <c r="R1092" s="150"/>
      <c r="S1092" s="150"/>
      <c r="T1092" s="150"/>
      <c r="U1092" s="150"/>
      <c r="V1092" s="150"/>
      <c r="W1092" s="150"/>
      <c r="X1092" s="150"/>
      <c r="Y1092" s="150"/>
    </row>
    <row r="1093" spans="17:25" x14ac:dyDescent="0.3">
      <c r="Q1093" s="150"/>
      <c r="R1093" s="150"/>
      <c r="S1093" s="150"/>
      <c r="T1093" s="150"/>
      <c r="U1093" s="150"/>
      <c r="V1093" s="150"/>
      <c r="W1093" s="150"/>
      <c r="X1093" s="150"/>
      <c r="Y1093" s="150"/>
    </row>
    <row r="1094" spans="17:25" x14ac:dyDescent="0.3">
      <c r="Q1094" s="150"/>
      <c r="R1094" s="150"/>
      <c r="S1094" s="150"/>
      <c r="T1094" s="150"/>
      <c r="U1094" s="150"/>
      <c r="V1094" s="150"/>
      <c r="W1094" s="150"/>
      <c r="X1094" s="150"/>
      <c r="Y1094" s="150"/>
    </row>
    <row r="1095" spans="17:25" x14ac:dyDescent="0.3">
      <c r="Q1095" s="150"/>
      <c r="R1095" s="150"/>
      <c r="S1095" s="150"/>
      <c r="T1095" s="150"/>
      <c r="U1095" s="150"/>
      <c r="V1095" s="150"/>
      <c r="W1095" s="150"/>
      <c r="X1095" s="150"/>
      <c r="Y1095" s="150"/>
    </row>
    <row r="1096" spans="17:25" x14ac:dyDescent="0.3">
      <c r="Q1096" s="150"/>
      <c r="R1096" s="150"/>
      <c r="S1096" s="150"/>
      <c r="T1096" s="150"/>
      <c r="U1096" s="150"/>
      <c r="V1096" s="150"/>
      <c r="W1096" s="150"/>
      <c r="X1096" s="150"/>
      <c r="Y1096" s="150"/>
    </row>
    <row r="1097" spans="17:25" x14ac:dyDescent="0.3">
      <c r="Q1097" s="150"/>
      <c r="R1097" s="150"/>
      <c r="S1097" s="150"/>
      <c r="T1097" s="150"/>
      <c r="U1097" s="150"/>
      <c r="V1097" s="150"/>
      <c r="W1097" s="150"/>
      <c r="X1097" s="150"/>
      <c r="Y1097" s="150"/>
    </row>
    <row r="1098" spans="17:25" x14ac:dyDescent="0.3">
      <c r="Q1098" s="150"/>
      <c r="R1098" s="150"/>
      <c r="S1098" s="150"/>
      <c r="T1098" s="150"/>
      <c r="U1098" s="150"/>
      <c r="V1098" s="150"/>
      <c r="W1098" s="150"/>
      <c r="X1098" s="150"/>
      <c r="Y1098" s="150"/>
    </row>
    <row r="1099" spans="17:25" x14ac:dyDescent="0.3">
      <c r="Q1099" s="150"/>
      <c r="R1099" s="150"/>
      <c r="S1099" s="150"/>
      <c r="T1099" s="150"/>
      <c r="U1099" s="150"/>
      <c r="V1099" s="150"/>
      <c r="W1099" s="150"/>
      <c r="X1099" s="150"/>
      <c r="Y1099" s="150"/>
    </row>
    <row r="1100" spans="17:25" x14ac:dyDescent="0.3">
      <c r="Q1100" s="150"/>
      <c r="R1100" s="150"/>
      <c r="S1100" s="150"/>
      <c r="T1100" s="150"/>
      <c r="U1100" s="150"/>
      <c r="V1100" s="150"/>
      <c r="W1100" s="150"/>
      <c r="X1100" s="150"/>
      <c r="Y1100" s="150"/>
    </row>
    <row r="1101" spans="17:25" x14ac:dyDescent="0.3">
      <c r="Q1101" s="150"/>
      <c r="R1101" s="150"/>
      <c r="S1101" s="150"/>
      <c r="T1101" s="150"/>
      <c r="U1101" s="150"/>
      <c r="V1101" s="150"/>
      <c r="W1101" s="150"/>
      <c r="X1101" s="150"/>
      <c r="Y1101" s="150"/>
    </row>
    <row r="1102" spans="17:25" x14ac:dyDescent="0.3">
      <c r="Q1102" s="150"/>
      <c r="R1102" s="150"/>
      <c r="S1102" s="150"/>
      <c r="T1102" s="150"/>
      <c r="U1102" s="150"/>
      <c r="V1102" s="150"/>
      <c r="W1102" s="150"/>
      <c r="X1102" s="150"/>
      <c r="Y1102" s="150"/>
    </row>
    <row r="1103" spans="17:25" x14ac:dyDescent="0.3">
      <c r="Q1103" s="150"/>
      <c r="R1103" s="150"/>
      <c r="S1103" s="150"/>
      <c r="T1103" s="150"/>
      <c r="U1103" s="150"/>
      <c r="V1103" s="150"/>
      <c r="W1103" s="150"/>
      <c r="X1103" s="150"/>
      <c r="Y1103" s="150"/>
    </row>
    <row r="1104" spans="17:25" x14ac:dyDescent="0.3">
      <c r="Q1104" s="150"/>
      <c r="R1104" s="150"/>
      <c r="S1104" s="150"/>
      <c r="T1104" s="150"/>
      <c r="U1104" s="150"/>
      <c r="V1104" s="150"/>
      <c r="W1104" s="150"/>
      <c r="X1104" s="150"/>
      <c r="Y1104" s="150"/>
    </row>
    <row r="1105" spans="17:25" x14ac:dyDescent="0.3">
      <c r="Q1105" s="150"/>
      <c r="R1105" s="150"/>
      <c r="S1105" s="150"/>
      <c r="T1105" s="150"/>
      <c r="U1105" s="150"/>
      <c r="V1105" s="150"/>
      <c r="W1105" s="150"/>
      <c r="X1105" s="150"/>
      <c r="Y1105" s="150"/>
    </row>
    <row r="1106" spans="17:25" x14ac:dyDescent="0.3">
      <c r="Q1106" s="150"/>
      <c r="R1106" s="150"/>
      <c r="S1106" s="150"/>
      <c r="T1106" s="150"/>
      <c r="U1106" s="150"/>
      <c r="V1106" s="150"/>
      <c r="W1106" s="150"/>
      <c r="X1106" s="150"/>
      <c r="Y1106" s="150"/>
    </row>
    <row r="1107" spans="17:25" x14ac:dyDescent="0.3">
      <c r="Q1107" s="150"/>
      <c r="R1107" s="150"/>
      <c r="S1107" s="150"/>
      <c r="T1107" s="150"/>
      <c r="U1107" s="150"/>
      <c r="V1107" s="150"/>
      <c r="W1107" s="150"/>
      <c r="X1107" s="150"/>
      <c r="Y1107" s="150"/>
    </row>
    <row r="1108" spans="17:25" x14ac:dyDescent="0.3">
      <c r="Q1108" s="150"/>
      <c r="R1108" s="150"/>
      <c r="S1108" s="150"/>
      <c r="T1108" s="150"/>
      <c r="U1108" s="150"/>
      <c r="V1108" s="150"/>
      <c r="W1108" s="150"/>
      <c r="X1108" s="150"/>
      <c r="Y1108" s="150"/>
    </row>
    <row r="1109" spans="17:25" x14ac:dyDescent="0.3">
      <c r="Q1109" s="150"/>
      <c r="R1109" s="150"/>
      <c r="S1109" s="150"/>
      <c r="T1109" s="150"/>
      <c r="U1109" s="150"/>
      <c r="V1109" s="150"/>
      <c r="W1109" s="150"/>
      <c r="X1109" s="150"/>
      <c r="Y1109" s="150"/>
    </row>
    <row r="1110" spans="17:25" x14ac:dyDescent="0.3">
      <c r="Q1110" s="150"/>
      <c r="R1110" s="150"/>
      <c r="S1110" s="150"/>
      <c r="T1110" s="150"/>
      <c r="U1110" s="150"/>
      <c r="V1110" s="150"/>
      <c r="W1110" s="150"/>
      <c r="X1110" s="150"/>
      <c r="Y1110" s="150"/>
    </row>
    <row r="1111" spans="17:25" x14ac:dyDescent="0.3">
      <c r="Q1111" s="150"/>
      <c r="R1111" s="150"/>
      <c r="S1111" s="150"/>
      <c r="T1111" s="150"/>
      <c r="U1111" s="150"/>
      <c r="V1111" s="150"/>
      <c r="W1111" s="150"/>
      <c r="X1111" s="150"/>
      <c r="Y1111" s="150"/>
    </row>
    <row r="1112" spans="17:25" x14ac:dyDescent="0.3">
      <c r="Q1112" s="150"/>
      <c r="R1112" s="150"/>
      <c r="S1112" s="150"/>
      <c r="T1112" s="150"/>
      <c r="U1112" s="150"/>
      <c r="V1112" s="150"/>
      <c r="W1112" s="150"/>
      <c r="X1112" s="150"/>
      <c r="Y1112" s="150"/>
    </row>
    <row r="1113" spans="17:25" x14ac:dyDescent="0.3">
      <c r="Q1113" s="150"/>
      <c r="R1113" s="150"/>
      <c r="S1113" s="150"/>
      <c r="T1113" s="150"/>
      <c r="U1113" s="150"/>
      <c r="V1113" s="150"/>
      <c r="W1113" s="150"/>
      <c r="X1113" s="150"/>
      <c r="Y1113" s="150"/>
    </row>
    <row r="1114" spans="17:25" x14ac:dyDescent="0.3">
      <c r="Q1114" s="150"/>
      <c r="R1114" s="150"/>
      <c r="S1114" s="150"/>
      <c r="T1114" s="150"/>
      <c r="U1114" s="150"/>
      <c r="V1114" s="150"/>
      <c r="W1114" s="150"/>
      <c r="X1114" s="150"/>
      <c r="Y1114" s="150"/>
    </row>
    <row r="1115" spans="17:25" x14ac:dyDescent="0.3">
      <c r="Q1115" s="150"/>
      <c r="R1115" s="150"/>
      <c r="S1115" s="150"/>
      <c r="T1115" s="150"/>
      <c r="U1115" s="150"/>
      <c r="V1115" s="150"/>
      <c r="W1115" s="150"/>
      <c r="X1115" s="150"/>
      <c r="Y1115" s="150"/>
    </row>
    <row r="1116" spans="17:25" x14ac:dyDescent="0.3">
      <c r="Q1116" s="150"/>
      <c r="R1116" s="150"/>
      <c r="S1116" s="150"/>
      <c r="T1116" s="150"/>
      <c r="U1116" s="150"/>
      <c r="V1116" s="150"/>
      <c r="W1116" s="150"/>
      <c r="X1116" s="150"/>
      <c r="Y1116" s="150"/>
    </row>
    <row r="1117" spans="17:25" x14ac:dyDescent="0.3">
      <c r="Q1117" s="150"/>
      <c r="R1117" s="150"/>
      <c r="S1117" s="150"/>
      <c r="T1117" s="150"/>
      <c r="U1117" s="150"/>
      <c r="V1117" s="150"/>
      <c r="W1117" s="150"/>
      <c r="X1117" s="150"/>
      <c r="Y1117" s="150"/>
    </row>
    <row r="1118" spans="17:25" x14ac:dyDescent="0.3">
      <c r="Q1118" s="150"/>
      <c r="R1118" s="150"/>
      <c r="S1118" s="150"/>
      <c r="T1118" s="150"/>
      <c r="U1118" s="150"/>
      <c r="V1118" s="150"/>
      <c r="W1118" s="150"/>
      <c r="X1118" s="150"/>
      <c r="Y1118" s="150"/>
    </row>
    <row r="1119" spans="17:25" x14ac:dyDescent="0.3">
      <c r="Q1119" s="150"/>
      <c r="R1119" s="150"/>
      <c r="S1119" s="150"/>
      <c r="T1119" s="150"/>
      <c r="U1119" s="150"/>
      <c r="V1119" s="150"/>
      <c r="W1119" s="150"/>
      <c r="X1119" s="150"/>
      <c r="Y1119" s="150"/>
    </row>
    <row r="1120" spans="17:25" x14ac:dyDescent="0.3">
      <c r="Q1120" s="150"/>
      <c r="R1120" s="150"/>
      <c r="S1120" s="150"/>
      <c r="T1120" s="150"/>
      <c r="U1120" s="150"/>
      <c r="V1120" s="150"/>
      <c r="W1120" s="150"/>
      <c r="X1120" s="150"/>
      <c r="Y1120" s="150"/>
    </row>
    <row r="1121" spans="17:25" x14ac:dyDescent="0.3">
      <c r="Q1121" s="150"/>
      <c r="R1121" s="150"/>
      <c r="S1121" s="150"/>
      <c r="T1121" s="150"/>
      <c r="U1121" s="150"/>
      <c r="V1121" s="150"/>
      <c r="W1121" s="150"/>
      <c r="X1121" s="150"/>
      <c r="Y1121" s="150"/>
    </row>
    <row r="1122" spans="17:25" x14ac:dyDescent="0.3">
      <c r="Q1122" s="150"/>
      <c r="R1122" s="150"/>
      <c r="S1122" s="150"/>
      <c r="T1122" s="150"/>
      <c r="U1122" s="150"/>
      <c r="V1122" s="150"/>
      <c r="W1122" s="150"/>
      <c r="X1122" s="150"/>
      <c r="Y1122" s="150"/>
    </row>
    <row r="1123" spans="17:25" x14ac:dyDescent="0.3">
      <c r="Q1123" s="150"/>
      <c r="R1123" s="150"/>
      <c r="S1123" s="150"/>
      <c r="T1123" s="150"/>
      <c r="U1123" s="150"/>
      <c r="V1123" s="150"/>
      <c r="W1123" s="150"/>
      <c r="X1123" s="150"/>
      <c r="Y1123" s="150"/>
    </row>
    <row r="1124" spans="17:25" x14ac:dyDescent="0.3">
      <c r="Q1124" s="150"/>
      <c r="R1124" s="150"/>
      <c r="S1124" s="150"/>
      <c r="T1124" s="150"/>
      <c r="U1124" s="150"/>
      <c r="V1124" s="150"/>
      <c r="W1124" s="150"/>
      <c r="X1124" s="150"/>
      <c r="Y1124" s="150"/>
    </row>
    <row r="1125" spans="17:25" x14ac:dyDescent="0.3">
      <c r="Q1125" s="150"/>
      <c r="R1125" s="150"/>
      <c r="S1125" s="150"/>
      <c r="T1125" s="150"/>
      <c r="U1125" s="150"/>
      <c r="V1125" s="150"/>
      <c r="W1125" s="150"/>
      <c r="X1125" s="150"/>
      <c r="Y1125" s="150"/>
    </row>
    <row r="1126" spans="17:25" x14ac:dyDescent="0.3">
      <c r="Q1126" s="150"/>
      <c r="R1126" s="150"/>
      <c r="S1126" s="150"/>
      <c r="T1126" s="150"/>
      <c r="U1126" s="150"/>
      <c r="V1126" s="150"/>
      <c r="W1126" s="150"/>
      <c r="X1126" s="150"/>
      <c r="Y1126" s="150"/>
    </row>
    <row r="1127" spans="17:25" x14ac:dyDescent="0.3">
      <c r="Q1127" s="150"/>
      <c r="R1127" s="150"/>
      <c r="S1127" s="150"/>
      <c r="T1127" s="150"/>
      <c r="U1127" s="150"/>
      <c r="V1127" s="150"/>
      <c r="W1127" s="150"/>
      <c r="X1127" s="150"/>
      <c r="Y1127" s="150"/>
    </row>
    <row r="1128" spans="17:25" x14ac:dyDescent="0.3">
      <c r="Q1128" s="150"/>
      <c r="R1128" s="150"/>
      <c r="S1128" s="150"/>
      <c r="T1128" s="150"/>
      <c r="U1128" s="150"/>
      <c r="V1128" s="150"/>
      <c r="W1128" s="150"/>
      <c r="X1128" s="150"/>
      <c r="Y1128" s="150"/>
    </row>
    <row r="1129" spans="17:25" x14ac:dyDescent="0.3">
      <c r="Q1129" s="150"/>
      <c r="R1129" s="150"/>
      <c r="S1129" s="150"/>
      <c r="T1129" s="150"/>
      <c r="U1129" s="150"/>
      <c r="V1129" s="150"/>
      <c r="W1129" s="150"/>
      <c r="X1129" s="150"/>
      <c r="Y1129" s="150"/>
    </row>
    <row r="1130" spans="17:25" x14ac:dyDescent="0.3">
      <c r="Q1130" s="150"/>
      <c r="R1130" s="150"/>
      <c r="S1130" s="150"/>
      <c r="T1130" s="150"/>
      <c r="U1130" s="150"/>
      <c r="V1130" s="150"/>
      <c r="W1130" s="150"/>
      <c r="X1130" s="150"/>
      <c r="Y1130" s="150"/>
    </row>
    <row r="1131" spans="17:25" x14ac:dyDescent="0.3">
      <c r="Q1131" s="150"/>
      <c r="R1131" s="150"/>
      <c r="S1131" s="150"/>
      <c r="T1131" s="150"/>
      <c r="U1131" s="150"/>
      <c r="V1131" s="150"/>
      <c r="W1131" s="150"/>
      <c r="X1131" s="150"/>
      <c r="Y1131" s="150"/>
    </row>
    <row r="1132" spans="17:25" x14ac:dyDescent="0.3">
      <c r="Q1132" s="150"/>
      <c r="R1132" s="150"/>
      <c r="S1132" s="150"/>
      <c r="T1132" s="150"/>
      <c r="U1132" s="150"/>
      <c r="V1132" s="150"/>
      <c r="W1132" s="150"/>
      <c r="X1132" s="150"/>
      <c r="Y1132" s="150"/>
    </row>
    <row r="1133" spans="17:25" x14ac:dyDescent="0.3">
      <c r="Q1133" s="150"/>
      <c r="R1133" s="150"/>
      <c r="S1133" s="150"/>
      <c r="T1133" s="150"/>
      <c r="U1133" s="150"/>
      <c r="V1133" s="150"/>
      <c r="W1133" s="150"/>
      <c r="X1133" s="150"/>
      <c r="Y1133" s="150"/>
    </row>
    <row r="1134" spans="17:25" x14ac:dyDescent="0.3">
      <c r="Q1134" s="150"/>
      <c r="R1134" s="150"/>
      <c r="S1134" s="150"/>
      <c r="T1134" s="150"/>
      <c r="U1134" s="150"/>
      <c r="V1134" s="150"/>
      <c r="W1134" s="150"/>
      <c r="X1134" s="150"/>
      <c r="Y1134" s="150"/>
    </row>
    <row r="1135" spans="17:25" x14ac:dyDescent="0.3">
      <c r="Q1135" s="150"/>
      <c r="R1135" s="150"/>
      <c r="S1135" s="150"/>
      <c r="T1135" s="150"/>
      <c r="U1135" s="150"/>
      <c r="V1135" s="150"/>
      <c r="W1135" s="150"/>
      <c r="X1135" s="150"/>
      <c r="Y1135" s="150"/>
    </row>
    <row r="1136" spans="17:25" x14ac:dyDescent="0.3">
      <c r="Q1136" s="150"/>
      <c r="R1136" s="150"/>
      <c r="S1136" s="150"/>
      <c r="T1136" s="150"/>
      <c r="U1136" s="150"/>
      <c r="V1136" s="150"/>
      <c r="W1136" s="150"/>
      <c r="X1136" s="150"/>
      <c r="Y1136" s="150"/>
    </row>
    <row r="1137" spans="17:25" x14ac:dyDescent="0.3">
      <c r="Q1137" s="150"/>
      <c r="R1137" s="150"/>
      <c r="S1137" s="150"/>
      <c r="T1137" s="150"/>
      <c r="U1137" s="150"/>
      <c r="V1137" s="150"/>
      <c r="W1137" s="150"/>
      <c r="X1137" s="150"/>
      <c r="Y1137" s="150"/>
    </row>
    <row r="1138" spans="17:25" x14ac:dyDescent="0.3">
      <c r="Q1138" s="150"/>
      <c r="R1138" s="150"/>
      <c r="S1138" s="150"/>
      <c r="T1138" s="150"/>
      <c r="U1138" s="150"/>
      <c r="V1138" s="150"/>
      <c r="W1138" s="150"/>
      <c r="X1138" s="150"/>
      <c r="Y1138" s="150"/>
    </row>
    <row r="1139" spans="17:25" x14ac:dyDescent="0.3">
      <c r="Q1139" s="150"/>
      <c r="R1139" s="150"/>
      <c r="S1139" s="150"/>
      <c r="T1139" s="150"/>
      <c r="U1139" s="150"/>
      <c r="V1139" s="150"/>
      <c r="W1139" s="150"/>
      <c r="X1139" s="150"/>
      <c r="Y1139" s="150"/>
    </row>
    <row r="1140" spans="17:25" x14ac:dyDescent="0.3">
      <c r="Q1140" s="150"/>
      <c r="R1140" s="150"/>
      <c r="S1140" s="150"/>
      <c r="T1140" s="150"/>
      <c r="U1140" s="150"/>
      <c r="V1140" s="150"/>
      <c r="W1140" s="150"/>
      <c r="X1140" s="150"/>
      <c r="Y1140" s="150"/>
    </row>
    <row r="1181" spans="9:9" x14ac:dyDescent="0.3">
      <c r="I1181" s="240">
        <f ca="1">+I1181:L1210</f>
        <v>0</v>
      </c>
    </row>
    <row r="7291" spans="1:26" s="287" customFormat="1" ht="14.5" x14ac:dyDescent="0.35">
      <c r="A7291" s="145"/>
      <c r="B7291" s="145"/>
      <c r="C7291" s="284"/>
      <c r="D7291" s="284"/>
      <c r="E7291" s="238"/>
      <c r="F7291" s="257"/>
      <c r="G7291" s="285"/>
      <c r="H7291" s="285"/>
      <c r="I7291" s="240"/>
      <c r="J7291" s="286"/>
      <c r="K7291" s="240"/>
      <c r="L7291" s="240"/>
      <c r="M7291" s="151"/>
      <c r="N7291" s="145"/>
      <c r="O7291" s="151"/>
      <c r="P7291" s="151"/>
      <c r="Q7291" s="151"/>
      <c r="R7291" s="151"/>
      <c r="S7291" s="151"/>
      <c r="T7291" s="151"/>
      <c r="U7291" s="151"/>
      <c r="V7291" s="151"/>
      <c r="W7291" s="151"/>
      <c r="X7291" s="151"/>
      <c r="Y7291" s="151"/>
      <c r="Z7291" s="151"/>
    </row>
  </sheetData>
  <mergeCells count="7">
    <mergeCell ref="O25:O26"/>
    <mergeCell ref="I25:I26"/>
    <mergeCell ref="J25:J26"/>
    <mergeCell ref="K25:K26"/>
    <mergeCell ref="L25:L26"/>
    <mergeCell ref="M25:M26"/>
    <mergeCell ref="N25:N26"/>
  </mergeCells>
  <dataValidations count="4">
    <dataValidation type="list" allowBlank="1" showInputMessage="1" showErrorMessage="1" sqref="M581:M870">
      <formula1>"COST_CENTERS"</formula1>
    </dataValidation>
    <dataValidation type="list" allowBlank="1" showInputMessage="1" showErrorMessage="1" sqref="L685:L870">
      <formula1>INDIRECT(K685)</formula1>
    </dataValidation>
    <dataValidation type="list" allowBlank="1" showInputMessage="1" showErrorMessage="1" sqref="J459:J465 J467:J473 J475:J476 J479:J492 J494:J510 J512:J513 J515:J526 J528:J543 J545:J565 J567:J568 J570:J580">
      <formula1>"REFFERAL COM,DIESEL,DONATION,DSTV SUB,ELECT WORK,ENTERTAINMENT,FUEL&amp;OIL,INTERNET SUB,MAINTENANCE,PHCN,PHONE BILL,SALARY &amp; ALLOWANCES,SERVICING OF GEN,STAFF BONUS &amp; GIFT,STAFF WELFARE,STATIONARY&amp;PRINTING,TRANSPORT,VEHICLE MAIN"</formula1>
    </dataValidation>
    <dataValidation type="list" errorStyle="warning" allowBlank="1" showInputMessage="1" showErrorMessage="1" sqref="F62">
      <formula1>"1,2,3,4,5"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INCOME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Kopa Godwin</dc:creator>
  <cp:lastModifiedBy>Kopa Godwin</cp:lastModifiedBy>
  <dcterms:created xsi:type="dcterms:W3CDTF">2025-08-11T14:04:29Z</dcterms:created>
  <dcterms:modified xsi:type="dcterms:W3CDTF">2025-08-11T14:08:52Z</dcterms:modified>
</cp:coreProperties>
</file>